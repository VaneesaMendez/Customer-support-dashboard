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026"/>
  <workbookPr dateCompatibility="0" hidePivotFieldList="1" defaultThemeVersion="166925"/>
  <mc:AlternateContent xmlns:mc="http://schemas.openxmlformats.org/markup-compatibility/2006">
    <mc:Choice Requires="x15">
      <x15ac:absPath xmlns:x15ac="http://schemas.microsoft.com/office/spreadsheetml/2010/11/ac" url="https://d.docs.live.net/de65e94155d0a6e3/Desktop/CUSTOMER SUPPORT PROJECT/"/>
    </mc:Choice>
  </mc:AlternateContent>
  <xr:revisionPtr revIDLastSave="0" documentId="8_{BD6AD926-D78D-43D7-94F6-F0DDB1CE4E49}" xr6:coauthVersionLast="47" xr6:coauthVersionMax="47" xr10:uidLastSave="{00000000-0000-0000-0000-000000000000}"/>
  <bookViews>
    <workbookView xWindow="-108" yWindow="-108" windowWidth="23256" windowHeight="12456" activeTab="3" xr2:uid="{AB64CF6D-5689-4455-80E0-804552319A30}"/>
  </bookViews>
  <sheets>
    <sheet name="Raw Data" sheetId="1" r:id="rId1"/>
    <sheet name="Pivot Table" sheetId="3" r:id="rId2"/>
    <sheet name="Dashboard" sheetId="4" r:id="rId3"/>
    <sheet name="Key Business Insights" sheetId="6" r:id="rId4"/>
  </sheets>
  <definedNames>
    <definedName name="_xlcn.WorksheetConnection_RawDataA1H7351" hidden="1">'Raw Data'!$A$1:$H$735</definedName>
    <definedName name="Slicer_Agent">#N/A</definedName>
    <definedName name="Slicer_Category">#N/A</definedName>
    <definedName name="Slicer_Priority">#N/A</definedName>
    <definedName name="Slicer_Status">#N/A</definedName>
  </definedNames>
  <calcPr calcId="191029"/>
  <pivotCaches>
    <pivotCache cacheId="59" r:id="rId5"/>
    <pivotCache cacheId="204" r:id="rId6"/>
    <pivotCache cacheId="207" r:id="rId7"/>
  </pivotCaches>
  <extLst>
    <ext xmlns:x14="http://schemas.microsoft.com/office/spreadsheetml/2009/9/main" uri="{876F7934-8845-4945-9796-88D515C7AA90}">
      <x14:pivotCaches>
        <pivotCache cacheId="60" r:id="rId8"/>
      </x14:pivotCaches>
    </ex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Raw Data!$A$1:$H$73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purl.oclc.org/ooxml/spreadsheetml/main">
  <c r="G6" i="4" l="1"/>
  <c r="E6" i="4"/>
  <c r="C6" i="4"/>
  <c r="A6" i="4"/>
</calcChain>
</file>

<file path=xl/connections.xml><?xml version="1.0" encoding="utf-8"?>
<connections xmlns="http://purl.oclc.org/ooxml/spreadsheetml/main" xmlns:mc="http://schemas.openxmlformats.org/markup-compatibility/2006" xmlns:xr16="http://schemas.microsoft.com/office/spreadsheetml/2017/revision16" mc:Ignorable="xr16">
  <connection id="1" xr16:uid="{7A632560-36D9-46A6-B6B2-2B19D2A735D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A770360-4334-4F37-BA68-AF2C0FF2FC28}" name="WorksheetConnection_Raw Data!$A$1:$H$735" type="102" refreshedVersion="8" minRefreshableVersion="5">
    <extLst>
      <ext xmlns:x15="http://schemas.microsoft.com/office/spreadsheetml/2010/11/main" uri="{DE250136-89BD-433C-8126-D09CA5730AF9}">
        <x15:connection id="Range" autoDelete="1">
          <x15:rangePr sourceName="_xlcn.WorksheetConnection_RawDataA1H7351"/>
        </x15:connection>
      </ext>
    </extLst>
  </connection>
</connections>
</file>

<file path=xl/sharedStrings.xml><?xml version="1.0" encoding="utf-8"?>
<sst xmlns="http://purl.oclc.org/ooxml/spreadsheetml/main" count="4240" uniqueCount="830">
  <si>
    <t>Date</t>
  </si>
  <si>
    <t>Category</t>
  </si>
  <si>
    <t>Priority</t>
  </si>
  <si>
    <t>Status</t>
  </si>
  <si>
    <t>Agent</t>
  </si>
  <si>
    <t>Rating</t>
  </si>
  <si>
    <t>T001</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</si>
  <si>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</si>
  <si>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</si>
  <si>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</si>
  <si>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</si>
  <si>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</si>
  <si>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</si>
  <si>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</si>
  <si>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</si>
  <si>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</si>
  <si>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</si>
  <si>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</si>
  <si>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</si>
  <si>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</si>
  <si>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</si>
  <si>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</si>
  <si>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</si>
  <si>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</si>
  <si>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</si>
  <si>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</si>
  <si>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</si>
  <si>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</si>
  <si>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</si>
  <si>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</si>
  <si>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</si>
  <si>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</si>
  <si>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</si>
  <si>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</si>
  <si>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</si>
  <si>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</si>
  <si>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</si>
  <si>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</si>
  <si>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</si>
  <si>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</si>
  <si>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</si>
  <si>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</si>
  <si>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</si>
  <si>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</si>
  <si>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</si>
  <si>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</si>
  <si>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</si>
  <si>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</si>
  <si>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</si>
  <si>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</si>
  <si>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</si>
  <si>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</si>
  <si>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</si>
  <si>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</si>
  <si>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</si>
  <si>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</si>
  <si>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</si>
  <si>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</si>
  <si>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</si>
  <si>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</si>
  <si>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</si>
  <si>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</si>
  <si>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</si>
  <si>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</si>
  <si>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</si>
  <si>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</si>
  <si>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</si>
  <si>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</si>
  <si>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</si>
  <si>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</si>
  <si>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</si>
  <si>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</si>
  <si>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</si>
  <si>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</si>
  <si>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</si>
  <si>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</si>
  <si>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</si>
  <si>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</si>
  <si>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</si>
  <si>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</si>
  <si>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</si>
  <si>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</si>
  <si>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</si>
  <si>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</si>
  <si>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</si>
  <si>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</si>
  <si>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</si>
  <si>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</si>
  <si>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</si>
  <si>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</si>
  <si>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</si>
  <si>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</si>
  <si>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</si>
  <si>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</si>
  <si>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</si>
  <si>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</si>
  <si>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</si>
  <si>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</si>
  <si>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</si>
  <si>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</si>
  <si>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</si>
  <si>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</si>
  <si>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</si>
  <si>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</si>
  <si>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</si>
  <si>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</si>
  <si>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</si>
  <si>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</si>
  <si>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</si>
  <si>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</si>
  <si>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</si>
  <si>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</si>
  <si>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</si>
  <si>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</si>
  <si>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</si>
  <si>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</si>
  <si>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</si>
  <si>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</si>
  <si>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</si>
  <si>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</si>
  <si>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</si>
  <si>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</si>
  <si>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</si>
  <si>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</si>
  <si>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</si>
  <si>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</si>
  <si>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</si>
  <si>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</si>
  <si>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</si>
  <si>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</si>
  <si>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</si>
  <si>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</si>
  <si>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</si>
  <si>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</si>
  <si>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</si>
  <si>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</si>
  <si>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</si>
  <si>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</si>
  <si>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</si>
  <si>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</si>
  <si>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</si>
  <si>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</si>
  <si>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</si>
  <si>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</si>
  <si>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</si>
  <si>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</si>
  <si>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</si>
  <si>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</si>
  <si>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</si>
  <si>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</si>
  <si>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</si>
  <si>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</si>
  <si>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</si>
  <si>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</si>
  <si>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</si>
  <si>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</si>
  <si>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</si>
  <si>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</si>
  <si>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</si>
  <si>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</si>
  <si>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</si>
  <si>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</si>
  <si>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</si>
  <si>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</si>
  <si>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</si>
  <si>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</si>
  <si>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</si>
  <si>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</si>
  <si>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</si>
  <si>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</si>
  <si>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</si>
  <si>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</si>
  <si>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</si>
  <si>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</si>
  <si>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</si>
  <si>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</si>
  <si>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</si>
  <si>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</si>
  <si>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</si>
  <si>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</si>
  <si>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T175</t>
  </si>
  <si>
    <t>T176</t>
  </si>
  <si>
    <t>T177</t>
  </si>
  <si>
    <t>T178</t>
  </si>
  <si>
    <t>T179</t>
  </si>
  <si>
    <t>T180</t>
  </si>
  <si>
    <t>T181</t>
  </si>
  <si>
    <t>T182</t>
  </si>
  <si>
    <t>T183</t>
  </si>
  <si>
    <t>T184</t>
  </si>
  <si>
    <t>T185</t>
  </si>
  <si>
    <t>T186</t>
  </si>
  <si>
    <t>T187</t>
  </si>
  <si>
    <t>T188</t>
  </si>
  <si>
    <t>T189</t>
  </si>
  <si>
    <t>T190</t>
  </si>
  <si>
    <t>T191</t>
  </si>
  <si>
    <t>T192</t>
  </si>
  <si>
    <t>T193</t>
  </si>
  <si>
    <t>T194</t>
  </si>
  <si>
    <t>T195</t>
  </si>
  <si>
    <t>T196</t>
  </si>
  <si>
    <t>T197</t>
  </si>
  <si>
    <t>T198</t>
  </si>
  <si>
    <t>T199</t>
  </si>
  <si>
    <t>T200</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</si>
  <si>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</si>
  <si>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</si>
  <si>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</si>
  <si>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</si>
  <si>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</si>
  <si>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</si>
  <si>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</si>
  <si>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</si>
  <si>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</si>
  <si>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</si>
  <si>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</si>
  <si>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</si>
  <si>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</si>
  <si>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</si>
  <si>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</si>
  <si>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</si>
  <si>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</si>
  <si>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</si>
  <si>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</si>
  <si>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</si>
  <si>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</si>
  <si>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</si>
  <si>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</si>
  <si>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</si>
  <si>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</si>
  <si>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</si>
  <si>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</si>
  <si>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</si>
  <si>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T229</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</si>
  <si>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</si>
  <si>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</si>
  <si>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</si>
  <si>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</si>
  <si>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</si>
  <si>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</si>
  <si>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</si>
  <si>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</si>
  <si>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</si>
  <si>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</si>
  <si>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</si>
  <si>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</si>
  <si>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</si>
  <si>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</si>
  <si>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</si>
  <si>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</si>
  <si>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</si>
  <si>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</si>
  <si>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</si>
  <si>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</si>
  <si>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</si>
  <si>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</si>
  <si>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</si>
  <si>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</si>
  <si>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</si>
  <si>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</si>
  <si>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</si>
  <si>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</si>
  <si>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</si>
  <si>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</si>
  <si>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</si>
  <si>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</si>
  <si>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</si>
  <si>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</si>
  <si>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</si>
  <si>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</si>
  <si>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</si>
  <si>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</si>
  <si>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</si>
  <si>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</si>
  <si>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</si>
  <si>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</si>
  <si>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</si>
  <si>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</si>
  <si>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</si>
  <si>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</si>
  <si>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</si>
  <si>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</si>
  <si>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</si>
  <si>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</si>
  <si>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</si>
  <si>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</si>
  <si>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</si>
  <si>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</si>
  <si>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</si>
  <si>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</si>
  <si>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</si>
  <si>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</si>
  <si>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</si>
  <si>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</si>
  <si>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</si>
  <si>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T291</t>
  </si>
  <si>
    <t>T292</t>
  </si>
  <si>
    <t>T293</t>
  </si>
  <si>
    <t>T294</t>
  </si>
  <si>
    <t>T295</t>
  </si>
  <si>
    <t>T296</t>
  </si>
  <si>
    <t>T297</t>
  </si>
  <si>
    <t>T298</t>
  </si>
  <si>
    <t>T299</t>
  </si>
  <si>
    <t>T300</t>
  </si>
  <si>
    <t>T301</t>
  </si>
  <si>
    <t>T302</t>
  </si>
  <si>
    <t>T303</t>
  </si>
  <si>
    <t>T304</t>
  </si>
  <si>
    <t>T305</t>
  </si>
  <si>
    <t>T306</t>
  </si>
  <si>
    <t>T307</t>
  </si>
  <si>
    <t>T308</t>
  </si>
  <si>
    <t>T309</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</si>
  <si>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</si>
  <si>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</si>
  <si>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</si>
  <si>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</si>
  <si>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</si>
  <si>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</si>
  <si>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</si>
  <si>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</si>
  <si>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</si>
  <si>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</si>
  <si>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</si>
  <si>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</si>
  <si>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</si>
  <si>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</si>
  <si>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</si>
  <si>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</si>
  <si>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</si>
  <si>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</si>
  <si>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</si>
  <si>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</si>
  <si>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</si>
  <si>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</si>
  <si>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</si>
  <si>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</si>
  <si>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</si>
  <si>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</si>
  <si>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</si>
  <si>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</si>
  <si>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</si>
  <si>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</si>
  <si>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</si>
  <si>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</si>
  <si>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</si>
  <si>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</si>
  <si>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</si>
  <si>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</si>
  <si>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</si>
  <si>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</si>
  <si>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</si>
  <si>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</si>
  <si>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</si>
  <si>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</si>
  <si>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</si>
  <si>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</si>
  <si>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</si>
  <si>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</si>
  <si>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</si>
  <si>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</si>
  <si>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T358</t>
  </si>
  <si>
    <t>T359</t>
  </si>
  <si>
    <t>T360</t>
  </si>
  <si>
    <t>T361</t>
  </si>
  <si>
    <t>T362</t>
  </si>
  <si>
    <t>T363</t>
  </si>
  <si>
    <t>T364</t>
  </si>
  <si>
    <t>T365</t>
  </si>
  <si>
    <t>T366</t>
  </si>
  <si>
    <t>T367</t>
  </si>
  <si>
    <t>T368</t>
  </si>
  <si>
    <t>T369</t>
  </si>
  <si>
    <t>T370</t>
  </si>
  <si>
    <t>T371</t>
  </si>
  <si>
    <t>T372</t>
  </si>
  <si>
    <t>T373</t>
  </si>
  <si>
    <t>T374</t>
  </si>
  <si>
    <t>T375</t>
  </si>
  <si>
    <t>T376</t>
  </si>
  <si>
    <t>T377</t>
  </si>
  <si>
    <t>T378</t>
  </si>
  <si>
    <t>T379</t>
  </si>
  <si>
    <t>T380</t>
  </si>
  <si>
    <t>T381</t>
  </si>
  <si>
    <t>T382</t>
  </si>
  <si>
    <t>T383</t>
  </si>
  <si>
    <t>T384</t>
  </si>
  <si>
    <t>T385</t>
  </si>
  <si>
    <t>T386</t>
  </si>
  <si>
    <t>T387</t>
  </si>
  <si>
    <t>T388</t>
  </si>
  <si>
    <t>T389</t>
  </si>
  <si>
    <t>T390</t>
  </si>
  <si>
    <t>T391</t>
  </si>
  <si>
    <t>T392</t>
  </si>
  <si>
    <t>T393</t>
  </si>
  <si>
    <t>T394</t>
  </si>
  <si>
    <t>T395</t>
  </si>
  <si>
    <t>T396</t>
  </si>
  <si>
    <t>T397</t>
  </si>
  <si>
    <t>T398</t>
  </si>
  <si>
    <t>T399</t>
  </si>
  <si>
    <t>T400</t>
  </si>
  <si>
    <t>T401</t>
  </si>
  <si>
    <t>T402</t>
  </si>
  <si>
    <t>T403</t>
  </si>
  <si>
    <t>T404</t>
  </si>
  <si>
    <t>T405</t>
  </si>
  <si>
    <t>T406</t>
  </si>
  <si>
    <t>T407</t>
  </si>
  <si>
    <t>T408</t>
  </si>
  <si>
    <t>T409</t>
  </si>
  <si>
    <t>T410</t>
  </si>
  <si>
    <t>T411</t>
  </si>
  <si>
    <t>T412</t>
  </si>
  <si>
    <t>T413</t>
  </si>
  <si>
    <t>T414</t>
  </si>
  <si>
    <t>T415</t>
  </si>
  <si>
    <t>T416</t>
  </si>
  <si>
    <t>T417</t>
  </si>
  <si>
    <t>T418</t>
  </si>
  <si>
    <t>T419</t>
  </si>
  <si>
    <t>T420</t>
  </si>
  <si>
    <t>T421</t>
  </si>
  <si>
    <t>T422</t>
  </si>
  <si>
    <t>T423</t>
  </si>
  <si>
    <t>T424</t>
  </si>
  <si>
    <t>T425</t>
  </si>
  <si>
    <t>T426</t>
  </si>
  <si>
    <t>T427</t>
  </si>
  <si>
    <t>T428</t>
  </si>
  <si>
    <t>T429</t>
  </si>
  <si>
    <t>T430</t>
  </si>
  <si>
    <t>T431</t>
  </si>
  <si>
    <t>T432</t>
  </si>
  <si>
    <t>T433</t>
  </si>
  <si>
    <t>T434</t>
  </si>
  <si>
    <t>T435</t>
  </si>
  <si>
    <t>T436</t>
  </si>
  <si>
    <t>T437</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</si>
  <si>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</si>
  <si>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</si>
  <si>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</si>
  <si>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</si>
  <si>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</si>
  <si>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</si>
  <si>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</si>
  <si>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</si>
  <si>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</si>
  <si>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</si>
  <si>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</si>
  <si>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</si>
  <si>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</si>
  <si>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</si>
  <si>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</si>
  <si>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</si>
  <si>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</si>
  <si>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</si>
  <si>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</si>
  <si>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</si>
  <si>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</si>
  <si>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</si>
  <si>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</si>
  <si>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</si>
  <si>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</si>
  <si>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</si>
  <si>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</si>
  <si>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</si>
  <si>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</si>
  <si>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</si>
  <si>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</si>
  <si>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</si>
  <si>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</si>
  <si>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</si>
  <si>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</si>
  <si>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</si>
  <si>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</si>
  <si>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</si>
  <si>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</si>
  <si>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</si>
  <si>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</si>
  <si>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</si>
  <si>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</si>
  <si>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</si>
  <si>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</si>
  <si>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</si>
  <si>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</si>
  <si>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</si>
  <si>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</si>
  <si>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</si>
  <si>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T488</t>
  </si>
  <si>
    <t>T489</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</si>
  <si>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</si>
  <si>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</si>
  <si>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</si>
  <si>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</si>
  <si>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</si>
  <si>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</si>
  <si>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</si>
  <si>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</si>
  <si>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</si>
  <si>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</si>
  <si>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</si>
  <si>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</si>
  <si>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</si>
  <si>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</si>
  <si>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</si>
  <si>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</si>
  <si>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</si>
  <si>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</si>
  <si>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</si>
  <si>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</si>
  <si>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</si>
  <si>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</si>
  <si>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</si>
  <si>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</si>
  <si>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T514</t>
  </si>
  <si>
    <t>T515</t>
  </si>
  <si>
    <t>T516</t>
  </si>
  <si>
    <t>T517</t>
  </si>
  <si>
    <t>T518</t>
  </si>
  <si>
    <t>T519</t>
  </si>
  <si>
    <t>T520</t>
  </si>
  <si>
    <t>T521</t>
  </si>
  <si>
    <t>T522</t>
  </si>
  <si>
    <t>T523</t>
  </si>
  <si>
    <t>T524</t>
  </si>
  <si>
    <t>T525</t>
  </si>
  <si>
    <t>T526</t>
  </si>
  <si>
    <t>T527</t>
  </si>
  <si>
    <t>T528</t>
  </si>
  <si>
    <t>T529</t>
  </si>
  <si>
    <t>T530</t>
  </si>
  <si>
    <t>T531</t>
  </si>
  <si>
    <t>T532</t>
  </si>
  <si>
    <t>T533</t>
  </si>
  <si>
    <t>T534</t>
  </si>
  <si>
    <t>T535</t>
  </si>
  <si>
    <t>T536</t>
  </si>
  <si>
    <t>T537</t>
  </si>
  <si>
    <t>T538</t>
  </si>
  <si>
    <t>T539</t>
  </si>
  <si>
    <t>T540</t>
  </si>
  <si>
    <t>T541</t>
  </si>
  <si>
    <t>T542</t>
  </si>
  <si>
    <t>T543</t>
  </si>
  <si>
    <t>T544</t>
  </si>
  <si>
    <t>T545</t>
  </si>
  <si>
    <t>T546</t>
  </si>
  <si>
    <t>T547</t>
  </si>
  <si>
    <t>T548</t>
  </si>
  <si>
    <t>T549</t>
  </si>
  <si>
    <t>T550</t>
  </si>
  <si>
    <t>T551</t>
  </si>
  <si>
    <t>T552</t>
  </si>
  <si>
    <t>T553</t>
  </si>
  <si>
    <t>T554</t>
  </si>
  <si>
    <t>T555</t>
  </si>
  <si>
    <t>T556</t>
  </si>
  <si>
    <t>T557</t>
  </si>
  <si>
    <t>T558</t>
  </si>
  <si>
    <t>T559</t>
  </si>
  <si>
    <t>T560</t>
  </si>
  <si>
    <t>T561</t>
  </si>
  <si>
    <t>T562</t>
  </si>
  <si>
    <t>T563</t>
  </si>
  <si>
    <t>T564</t>
  </si>
  <si>
    <t>T565</t>
  </si>
  <si>
    <t>T566</t>
  </si>
  <si>
    <t>T567</t>
  </si>
  <si>
    <t>T568</t>
  </si>
  <si>
    <t>T569</t>
  </si>
  <si>
    <t>T570</t>
  </si>
  <si>
    <t>T571</t>
  </si>
  <si>
    <t>T572</t>
  </si>
  <si>
    <t>T573</t>
  </si>
  <si>
    <t>T574</t>
  </si>
  <si>
    <t>T575</t>
  </si>
  <si>
    <t>T576</t>
  </si>
  <si>
    <t>T577</t>
  </si>
  <si>
    <t>T578</t>
  </si>
  <si>
    <t>T579</t>
  </si>
  <si>
    <t>T580</t>
  </si>
  <si>
    <t>T581</t>
  </si>
  <si>
    <t>T582</t>
  </si>
  <si>
    <t>T583</t>
  </si>
  <si>
    <t>T584</t>
  </si>
  <si>
    <t>T585</t>
  </si>
  <si>
    <t>T586</t>
  </si>
  <si>
    <t>T587</t>
  </si>
  <si>
    <t>T588</t>
  </si>
  <si>
    <t>T589</t>
  </si>
  <si>
    <t>T590</t>
  </si>
  <si>
    <t>T591</t>
  </si>
  <si>
    <t>T592</t>
  </si>
  <si>
    <t>T593</t>
  </si>
  <si>
    <t>T594</t>
  </si>
  <si>
    <t>T595</t>
  </si>
  <si>
    <t>T596</t>
  </si>
  <si>
    <t>T597</t>
  </si>
  <si>
    <t>T598</t>
  </si>
  <si>
    <t>T599</t>
  </si>
  <si>
    <t>T600</t>
  </si>
  <si>
    <t>T601</t>
  </si>
  <si>
    <t>T602</t>
  </si>
  <si>
    <t>T603</t>
  </si>
  <si>
    <t>T604</t>
  </si>
  <si>
    <t>T605</t>
  </si>
  <si>
    <t>T606</t>
  </si>
  <si>
    <t>T607</t>
  </si>
  <si>
    <t>T608</t>
  </si>
  <si>
    <t>T609</t>
  </si>
  <si>
    <t>T610</t>
  </si>
  <si>
    <t>T611</t>
  </si>
  <si>
    <t>T612</t>
  </si>
  <si>
    <t>T613</t>
  </si>
  <si>
    <t>T614</t>
  </si>
  <si>
    <t>T615</t>
  </si>
  <si>
    <t>T616</t>
  </si>
  <si>
    <t>T617</t>
  </si>
  <si>
    <t>T618</t>
  </si>
  <si>
    <t>T619</t>
  </si>
  <si>
    <t>T620</t>
  </si>
  <si>
    <t>T621</t>
  </si>
  <si>
    <t>T622</t>
  </si>
  <si>
    <t>T623</t>
  </si>
  <si>
    <t>T624</t>
  </si>
  <si>
    <t>T625</t>
  </si>
  <si>
    <t>T626</t>
  </si>
  <si>
    <t>T627</t>
  </si>
  <si>
    <t>T628</t>
  </si>
  <si>
    <t>T629</t>
  </si>
  <si>
    <t>T630</t>
  </si>
  <si>
    <t>T631</t>
  </si>
  <si>
    <t>T632</t>
  </si>
  <si>
    <t>T633</t>
  </si>
  <si>
    <t>T634</t>
  </si>
  <si>
    <t>T635</t>
  </si>
  <si>
    <t>T636</t>
  </si>
  <si>
    <t>T637</t>
  </si>
  <si>
    <t>T638</t>
  </si>
  <si>
    <t>T639</t>
  </si>
  <si>
    <t>T640</t>
  </si>
  <si>
    <t>T641</t>
  </si>
  <si>
    <t>T642</t>
  </si>
  <si>
    <t>T643</t>
  </si>
  <si>
    <t>T644</t>
  </si>
  <si>
    <t>T645</t>
  </si>
  <si>
    <t>T646</t>
  </si>
  <si>
    <t>T647</t>
  </si>
  <si>
    <t>T648</t>
  </si>
  <si>
    <t>T649</t>
  </si>
  <si>
    <t>T650</t>
  </si>
  <si>
    <t>T651</t>
  </si>
  <si>
    <t>T652</t>
  </si>
  <si>
    <t>T653</t>
  </si>
  <si>
    <t>T654</t>
  </si>
  <si>
    <t>T655</t>
  </si>
  <si>
    <t>T656</t>
  </si>
  <si>
    <t>T657</t>
  </si>
  <si>
    <t>T658</t>
  </si>
  <si>
    <t>T659</t>
  </si>
  <si>
    <t>T660</t>
  </si>
  <si>
    <t>T661</t>
  </si>
  <si>
    <t>T662</t>
  </si>
  <si>
    <t>T663</t>
  </si>
  <si>
    <t>T664</t>
  </si>
  <si>
    <t>T665</t>
  </si>
  <si>
    <t>T666</t>
  </si>
  <si>
    <t>T667</t>
  </si>
  <si>
    <t>T668</t>
  </si>
  <si>
    <t>T669</t>
  </si>
  <si>
    <t>T670</t>
  </si>
  <si>
    <t>T671</t>
  </si>
  <si>
    <t>T672</t>
  </si>
  <si>
    <t>T673</t>
  </si>
  <si>
    <t>T674</t>
  </si>
  <si>
    <t>T675</t>
  </si>
  <si>
    <t>T676</t>
  </si>
  <si>
    <t>T677</t>
  </si>
  <si>
    <t>T678</t>
  </si>
  <si>
    <t>T679</t>
  </si>
  <si>
    <t>T680</t>
  </si>
  <si>
    <t>T681</t>
  </si>
  <si>
    <t>T682</t>
  </si>
  <si>
    <t>T683</t>
  </si>
  <si>
    <t>T684</t>
  </si>
  <si>
    <t>T685</t>
  </si>
  <si>
    <t>T686</t>
  </si>
  <si>
    <t>T687</t>
  </si>
  <si>
    <t>T688</t>
  </si>
  <si>
    <t>T689</t>
  </si>
  <si>
    <t>T690</t>
  </si>
  <si>
    <t>T691</t>
  </si>
  <si>
    <t>T692</t>
  </si>
  <si>
    <t>T693</t>
  </si>
  <si>
    <t>T694</t>
  </si>
  <si>
    <t>T695</t>
  </si>
  <si>
    <t>T696</t>
  </si>
  <si>
    <t>T697</t>
  </si>
  <si>
    <t>T698</t>
  </si>
  <si>
    <t>T699</t>
  </si>
  <si>
    <t>T700</t>
  </si>
  <si>
    <t>T701</t>
  </si>
  <si>
    <t>T702</t>
  </si>
  <si>
    <t>T703</t>
  </si>
  <si>
    <t>T704</t>
  </si>
  <si>
    <t>T705</t>
  </si>
  <si>
    <t>T706</t>
  </si>
  <si>
    <t>T707</t>
  </si>
  <si>
    <t>T708</t>
  </si>
  <si>
    <t>T709</t>
  </si>
  <si>
    <t>T710</t>
  </si>
  <si>
    <t>T711</t>
  </si>
  <si>
    <t>T712</t>
  </si>
  <si>
    <t>T713</t>
  </si>
  <si>
    <t>T714</t>
  </si>
  <si>
    <t>T715</t>
  </si>
  <si>
    <t>T716</t>
  </si>
  <si>
    <t>T717</t>
  </si>
  <si>
    <t>T718</t>
  </si>
  <si>
    <t>T719</t>
  </si>
  <si>
    <t>T720</t>
  </si>
  <si>
    <t>T721</t>
  </si>
  <si>
    <t>T722</t>
  </si>
  <si>
    <t>T723</t>
  </si>
  <si>
    <t>T724</t>
  </si>
  <si>
    <t>T725</t>
  </si>
  <si>
    <t>T726</t>
  </si>
  <si>
    <t>T727</t>
  </si>
  <si>
    <t>T728</t>
  </si>
  <si>
    <t>T729</t>
  </si>
  <si>
    <t>T730</t>
  </si>
  <si>
    <t>T731</t>
  </si>
  <si>
    <t>T732</t>
  </si>
  <si>
    <t>T733</t>
  </si>
  <si>
    <t>T734</t>
  </si>
  <si>
    <t>Billing</t>
  </si>
  <si>
    <t>Technical</t>
  </si>
  <si>
    <t>Refund Request</t>
  </si>
  <si>
    <t>Account Access</t>
  </si>
  <si>
    <t>Login Issues</t>
  </si>
  <si>
    <t>High</t>
  </si>
  <si>
    <t>Medium</t>
  </si>
  <si>
    <t>Sarah</t>
  </si>
  <si>
    <t>John</t>
  </si>
  <si>
    <t>Emma</t>
  </si>
  <si>
    <t>Mike</t>
  </si>
  <si>
    <t>James</t>
  </si>
  <si>
    <t>Lea</t>
  </si>
  <si>
    <t>William</t>
  </si>
  <si>
    <t>Zoey</t>
  </si>
  <si>
    <t>Closed</t>
  </si>
  <si>
    <t>Open</t>
  </si>
  <si>
    <t>Escalated</t>
  </si>
  <si>
    <t>Pending</t>
  </si>
  <si>
    <t/>
  </si>
  <si>
    <t>Grand Total</t>
  </si>
  <si>
    <t>Count of Ticket ID</t>
  </si>
  <si>
    <t>Issues</t>
  </si>
  <si>
    <t>TicketID</t>
  </si>
  <si>
    <t>ResolutionHours</t>
  </si>
  <si>
    <t>AccountAccess</t>
  </si>
  <si>
    <t>LoginIssues</t>
  </si>
  <si>
    <t>RefundRequest</t>
  </si>
  <si>
    <t>Agents</t>
  </si>
  <si>
    <t>Average of ResolutionHours</t>
  </si>
  <si>
    <t>Jan</t>
  </si>
  <si>
    <t>Feb</t>
  </si>
  <si>
    <t>Mar</t>
  </si>
  <si>
    <t>Apr</t>
  </si>
  <si>
    <t>May</t>
  </si>
  <si>
    <t>Jun</t>
  </si>
  <si>
    <t>Jul</t>
  </si>
  <si>
    <t>Aug</t>
  </si>
  <si>
    <t>Sep</t>
  </si>
  <si>
    <t>Oct</t>
  </si>
  <si>
    <t>Nov</t>
  </si>
  <si>
    <t>Dec</t>
  </si>
  <si>
    <t>Count of TicketID</t>
  </si>
  <si>
    <t>TICKETS BY CATEGORY</t>
  </si>
  <si>
    <t>TICKETS BY STATUS</t>
  </si>
  <si>
    <t>AGENT PERFORMANCE</t>
  </si>
  <si>
    <t>Months</t>
  </si>
  <si>
    <t>MONTHLY TICKET TREND</t>
  </si>
  <si>
    <t>Ratings</t>
  </si>
  <si>
    <t>CUSTOMER SATISFACTION</t>
  </si>
  <si>
    <t>TOTAL TICKETS</t>
  </si>
  <si>
    <t>Customer Support Performance Dashboard</t>
  </si>
  <si>
    <t>CLOSED TICKETS</t>
  </si>
  <si>
    <t>AVG RESOLUTION TIME</t>
  </si>
  <si>
    <t>AVG RATING</t>
  </si>
  <si>
    <t>Ticket Distribution by Category</t>
  </si>
  <si>
    <t>Ticket Status Breakdown</t>
  </si>
  <si>
    <t>OPERATIONAL OVERVIEW</t>
  </si>
  <si>
    <t>PERFORMANCE ANALYSIS</t>
  </si>
  <si>
    <t>Agent Performance</t>
  </si>
  <si>
    <t>Monthly Ticket Trend</t>
  </si>
  <si>
    <r>
      <rPr>
        <b/>
        <sz val="14"/>
        <color theme="9" tint="-0.249977111117893"/>
        <rFont val="Calibri"/>
        <family val="2"/>
        <scheme val="minor"/>
      </rPr>
      <t xml:space="preserve">           </t>
    </r>
    <r>
      <rPr>
        <b/>
        <u/>
        <sz val="14"/>
        <color theme="9" tint="-0.249977111117893"/>
        <rFont val="Calibri"/>
        <family val="2"/>
        <scheme val="minor"/>
      </rPr>
      <t>CUSTOMER EXPERIENCE</t>
    </r>
  </si>
  <si>
    <t>Customer Satisfaction Ratings</t>
  </si>
  <si>
    <t>KEY BUSINESS INSIGHTS</t>
  </si>
  <si>
    <t xml:space="preserve">1. Ticket Volume Overview </t>
  </si>
  <si>
    <r>
      <t xml:space="preserve">A total of </t>
    </r>
    <r>
      <rPr>
        <b/>
        <sz val="11"/>
        <color theme="1"/>
        <rFont val="Calibri"/>
        <family val="2"/>
        <scheme val="minor"/>
      </rPr>
      <t>734 customer support tickets</t>
    </r>
    <r>
      <rPr>
        <sz val="11"/>
        <color theme="1"/>
        <rFont val="Calibri"/>
        <family val="2"/>
        <scheme val="minor"/>
      </rPr>
      <t xml:space="preserve"> were recorded during the year.</t>
    </r>
  </si>
  <si>
    <r>
      <t xml:space="preserve">Ticket volumes remained relatively stable across all months, ranging between </t>
    </r>
    <r>
      <rPr>
        <b/>
        <sz val="11"/>
        <color theme="1"/>
        <rFont val="Calibri"/>
        <family val="2"/>
        <scheme val="minor"/>
      </rPr>
      <t>56 and 66 tickets per month</t>
    </r>
    <r>
      <rPr>
        <sz val="11"/>
        <color theme="1"/>
        <rFont val="Calibri"/>
        <family val="2"/>
        <scheme val="minor"/>
      </rPr>
      <t>, indicating consistent customer demand and workload.</t>
    </r>
  </si>
  <si>
    <t>2. Most Common Customer Issues</t>
  </si>
  <si>
    <r>
      <t>Billing issues</t>
    </r>
    <r>
      <rPr>
        <sz val="11"/>
        <color theme="1"/>
        <rFont val="Calibri"/>
        <family val="2"/>
        <scheme val="minor"/>
      </rPr>
      <t xml:space="preserve"> generated the highest number of tickets (</t>
    </r>
    <r>
      <rPr>
        <b/>
        <sz val="11"/>
        <color theme="1"/>
        <rFont val="Calibri"/>
        <family val="2"/>
        <scheme val="minor"/>
      </rPr>
      <t>167 tickets, 22.8% of total volume</t>
    </r>
    <r>
      <rPr>
        <sz val="11"/>
        <color theme="1"/>
        <rFont val="Calibri"/>
        <family val="2"/>
        <scheme val="minor"/>
      </rPr>
      <t>).</t>
    </r>
  </si>
  <si>
    <r>
      <t xml:space="preserve">Account Access, Login Issues, Technical Issues, and Refund Requests all contributed similar ticket volumes (approximately </t>
    </r>
    <r>
      <rPr>
        <b/>
        <sz val="11"/>
        <color theme="1"/>
        <rFont val="Calibri"/>
        <family val="2"/>
        <scheme val="minor"/>
      </rPr>
      <t>141–142 tickets each</t>
    </r>
    <r>
      <rPr>
        <sz val="11"/>
        <color theme="1"/>
        <rFont val="Calibri"/>
        <family val="2"/>
        <scheme val="minor"/>
      </rPr>
      <t>).</t>
    </r>
  </si>
  <si>
    <t>This suggests that billing processes may require further investigation to reduce support demand.</t>
  </si>
  <si>
    <t>3. Ticket Resolution Status</t>
  </si>
  <si>
    <r>
      <t xml:space="preserve">Only </t>
    </r>
    <r>
      <rPr>
        <b/>
        <sz val="11"/>
        <color theme="1"/>
        <rFont val="Calibri"/>
        <family val="2"/>
        <scheme val="minor"/>
      </rPr>
      <t>261 tickets (35.6%)</t>
    </r>
    <r>
      <rPr>
        <sz val="11"/>
        <color theme="1"/>
        <rFont val="Calibri"/>
        <family val="2"/>
        <scheme val="minor"/>
      </rPr>
      <t xml:space="preserve"> have been closed.</t>
    </r>
  </si>
  <si>
    <r>
      <t>473 tickets (64.4%)</t>
    </r>
    <r>
      <rPr>
        <sz val="11"/>
        <color theme="1"/>
        <rFont val="Calibri"/>
        <family val="2"/>
        <scheme val="minor"/>
      </rPr>
      <t xml:space="preserve"> remain Open, Pending, or Escalated.</t>
    </r>
  </si>
  <si>
    <t>This indicates a significant backlog and highlights opportunities to improve operational efficiency and response times.</t>
  </si>
  <si>
    <t>4. Agent Performance Analysis</t>
  </si>
  <si>
    <r>
      <t xml:space="preserve">The average resolution time across all agents was </t>
    </r>
    <r>
      <rPr>
        <b/>
        <sz val="11"/>
        <color theme="1"/>
        <rFont val="Calibri"/>
        <family val="2"/>
        <scheme val="minor"/>
      </rPr>
      <t>15.72 hours</t>
    </r>
    <r>
      <rPr>
        <sz val="11"/>
        <color theme="1"/>
        <rFont val="Calibri"/>
        <family val="2"/>
        <scheme val="minor"/>
      </rPr>
      <t>.</t>
    </r>
  </si>
  <si>
    <r>
      <t>Lea</t>
    </r>
    <r>
      <rPr>
        <sz val="11"/>
        <color theme="1"/>
        <rFont val="Calibri"/>
        <family val="2"/>
        <scheme val="minor"/>
      </rPr>
      <t xml:space="preserve"> demonstrated the fastest performance with an average resolution time of </t>
    </r>
    <r>
      <rPr>
        <b/>
        <sz val="11"/>
        <color theme="1"/>
        <rFont val="Calibri"/>
        <family val="2"/>
        <scheme val="minor"/>
      </rPr>
      <t>13.04 hours</t>
    </r>
    <r>
      <rPr>
        <sz val="11"/>
        <color theme="1"/>
        <rFont val="Calibri"/>
        <family val="2"/>
        <scheme val="minor"/>
      </rPr>
      <t>.</t>
    </r>
  </si>
  <si>
    <r>
      <t>William</t>
    </r>
    <r>
      <rPr>
        <sz val="11"/>
        <color theme="1"/>
        <rFont val="Calibri"/>
        <family val="2"/>
        <scheme val="minor"/>
      </rPr>
      <t xml:space="preserve"> followed closely at </t>
    </r>
    <r>
      <rPr>
        <b/>
        <sz val="11"/>
        <color theme="1"/>
        <rFont val="Calibri"/>
        <family val="2"/>
        <scheme val="minor"/>
      </rPr>
      <t>13.97 hours</t>
    </r>
    <r>
      <rPr>
        <sz val="11"/>
        <color theme="1"/>
        <rFont val="Calibri"/>
        <family val="2"/>
        <scheme val="minor"/>
      </rPr>
      <t>.</t>
    </r>
  </si>
  <si>
    <r>
      <t>Sarah</t>
    </r>
    <r>
      <rPr>
        <sz val="11"/>
        <color theme="1"/>
        <rFont val="Calibri"/>
        <family val="2"/>
        <scheme val="minor"/>
      </rPr>
      <t xml:space="preserve"> recorded the longest average resolution time (</t>
    </r>
    <r>
      <rPr>
        <b/>
        <sz val="11"/>
        <color theme="1"/>
        <rFont val="Calibri"/>
        <family val="2"/>
        <scheme val="minor"/>
      </rPr>
      <t>19.23 hours</t>
    </r>
    <r>
      <rPr>
        <sz val="11"/>
        <color theme="1"/>
        <rFont val="Calibri"/>
        <family val="2"/>
        <scheme val="minor"/>
      </rPr>
      <t>), suggesting potential training or workload balancing opportunities.</t>
    </r>
  </si>
  <si>
    <t>5. Customer Satisfaction</t>
  </si>
  <si>
    <r>
      <t xml:space="preserve">Customer feedback was generally positive, with an average rating of </t>
    </r>
    <r>
      <rPr>
        <b/>
        <sz val="11"/>
        <color theme="1"/>
        <rFont val="Calibri"/>
        <family val="2"/>
        <scheme val="minor"/>
      </rPr>
      <t>4.05 out of 5</t>
    </r>
    <r>
      <rPr>
        <sz val="11"/>
        <color theme="1"/>
        <rFont val="Calibri"/>
        <family val="2"/>
        <scheme val="minor"/>
      </rPr>
      <t>.</t>
    </r>
  </si>
  <si>
    <r>
      <t xml:space="preserve">The majority of ratings were </t>
    </r>
    <r>
      <rPr>
        <b/>
        <sz val="11"/>
        <color theme="1"/>
        <rFont val="Calibri"/>
        <family val="2"/>
        <scheme val="minor"/>
      </rPr>
      <t>4-star ratings (473 responses)</t>
    </r>
    <r>
      <rPr>
        <sz val="11"/>
        <color theme="1"/>
        <rFont val="Calibri"/>
        <family val="2"/>
        <scheme val="minor"/>
      </rPr>
      <t>, indicating strong overall customer satisfaction.</t>
    </r>
  </si>
  <si>
    <r>
      <t xml:space="preserve">Lower-rated responses (3-star) accounted for only </t>
    </r>
    <r>
      <rPr>
        <b/>
        <sz val="11"/>
        <color theme="1"/>
        <rFont val="Calibri"/>
        <family val="2"/>
        <scheme val="minor"/>
      </rPr>
      <t>71 cases</t>
    </r>
    <r>
      <rPr>
        <sz val="11"/>
        <color theme="1"/>
        <rFont val="Calibri"/>
        <family val="2"/>
        <scheme val="minor"/>
      </rPr>
      <t>, suggesting service quality is meeting customer expectations.</t>
    </r>
  </si>
  <si>
    <t>6. Business Recommendation</t>
  </si>
  <si>
    <t>Focus on reducing the high number of unresolved tickets through improved workflow management and faster escalation handling.</t>
  </si>
  <si>
    <t>Investigate recurring billing-related issues, as they represent the largest category of customer complaints.</t>
  </si>
  <si>
    <t>Apply best practices from top-performing agents such as Lea and William to improve overall team efficiency.</t>
  </si>
  <si>
    <t>EXECUTIVE SUMMARY</t>
  </si>
  <si>
    <t>The analysis revealed that Billing Issues were the most common customer concern, accounting for 22.8% of all support tickets. While customer 
satisfaction remained strong with an average rating of 4.05/5, only 35.6% of tickets had been closed, highlighting opportunities to improve operational efficiency. Agent performance analysis identified Lea as the fastest resolver with an average resolution time of 13.04 hours, providing a benchmark for future process improvement.</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</si>
</sst>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8"/>
      <name val="Calibri"/>
      <family val="2"/>
      <scheme val="minor"/>
    </font>
    <font>
      <b/>
      <sz val="14"/>
      <color theme="9" tint="-0.249977111117893"/>
      <name val="Calibri"/>
      <family val="2"/>
      <scheme val="minor"/>
    </font>
    <font>
      <b/>
      <sz val="14"/>
      <color theme="9" tint="-0.499984740745262"/>
      <name val="Calibri"/>
      <family val="2"/>
      <scheme val="minor"/>
    </font>
    <font>
      <b/>
      <sz val="36"/>
      <color theme="9" tint="0.39997558519241921"/>
      <name val="Calibri"/>
      <family val="2"/>
      <scheme val="minor"/>
    </font>
    <font>
      <b/>
      <sz val="48"/>
      <color theme="9" tint="0.39997558519241921"/>
      <name val="Calibri"/>
      <family val="2"/>
      <scheme val="minor"/>
    </font>
    <font>
      <b/>
      <sz val="16"/>
      <color theme="9" tint="0.39997558519241921"/>
      <name val="Calibri"/>
      <family val="2"/>
      <scheme val="minor"/>
    </font>
    <font>
      <sz val="48"/>
      <color theme="9" tint="0.39997558519241921"/>
      <name val="Calibri"/>
      <family val="2"/>
      <scheme val="minor"/>
    </font>
    <font>
      <b/>
      <u/>
      <sz val="26"/>
      <color theme="9" tint="-0.499984740745262"/>
      <name val="Calibri"/>
      <family val="2"/>
      <scheme val="minor"/>
    </font>
    <font>
      <b/>
      <sz val="11"/>
      <color theme="9" tint="-0.249977111117893"/>
      <name val="Calibri"/>
      <family val="2"/>
      <scheme val="minor"/>
    </font>
    <font>
      <b/>
      <u/>
      <sz val="14"/>
      <color theme="9" tint="-0.499984740745262"/>
      <name val="Calibri"/>
      <family val="2"/>
      <scheme val="minor"/>
    </font>
    <font>
      <b/>
      <u/>
      <sz val="14"/>
      <color theme="9" tint="-0.249977111117893"/>
      <name val="Calibri"/>
      <family val="2"/>
      <scheme val="minor"/>
    </font>
    <font>
      <b/>
      <u/>
      <sz val="22"/>
      <color theme="1"/>
      <name val="Times New Roman"/>
      <family val="1"/>
    </font>
    <font>
      <u/>
      <sz val="11"/>
      <color theme="1"/>
      <name val="Calibri"/>
      <family val="2"/>
      <scheme val="minor"/>
    </font>
  </fonts>
  <fills count="2">
    <fill>
      <patternFill patternType="none"/>
    </fill>
    <fill>
      <patternFill patternType="gray125"/>
    </fill>
  </fills>
  <borders count="7">
    <border>
      <start/>
      <end/>
      <top/>
      <bottom/>
      <diagonal/>
    </border>
    <border>
      <start style="medium">
        <color theme="9"/>
      </start>
      <end/>
      <top style="medium">
        <color theme="9"/>
      </top>
      <bottom/>
      <diagonal/>
    </border>
    <border>
      <start/>
      <end style="medium">
        <color theme="9"/>
      </end>
      <top style="medium">
        <color theme="9"/>
      </top>
      <bottom/>
      <diagonal/>
    </border>
    <border>
      <start style="medium">
        <color theme="9"/>
      </start>
      <end/>
      <top/>
      <bottom/>
      <diagonal/>
    </border>
    <border>
      <start/>
      <end style="medium">
        <color theme="9"/>
      </end>
      <top/>
      <bottom/>
      <diagonal/>
    </border>
    <border>
      <start style="medium">
        <color theme="9"/>
      </start>
      <end/>
      <top/>
      <bottom style="medium">
        <color theme="9"/>
      </bottom>
      <diagonal/>
    </border>
    <border>
      <start/>
      <end style="medium">
        <color theme="9"/>
      </end>
      <top/>
      <bottom style="medium">
        <color theme="9"/>
      </bottom>
      <diagonal/>
    </border>
  </borders>
  <cellStyleXfs count="1">
    <xf numFmtId="0" fontId="0" fillId="0" borderId="0"/>
  </cellStyleXfs>
  <cellXfs count="37">
    <xf numFmtId="0" fontId="0" fillId="0" borderId="0" xfId="0"/>
    <xf numFmtId="0" fontId="1" fillId="0" borderId="0" xfId="0" applyFont="1"/>
    <xf numFmtId="0" fontId="1" fillId="0" borderId="0" xfId="0" applyFont="1" applyAlignment="1">
      <alignment horizontal="center"/>
    </xf>
    <xf numFmtId="14" fontId="1" fillId="0" borderId="0" xfId="0" applyNumberFormat="1" applyFont="1" applyAlignment="1">
      <alignment horizontal="center"/>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2" fontId="1" fillId="0" borderId="0" xfId="0" applyNumberFormat="1" applyFont="1" applyAlignment="1">
      <alignment horizontal="center"/>
    </xf>
    <xf numFmtId="2" fontId="0" fillId="0" borderId="0" xfId="0" applyNumberFormat="1"/>
    <xf numFmtId="0" fontId="0" fillId="0" borderId="0" xfId="0" applyAlignment="1">
      <alignment horizontal="center"/>
    </xf>
    <xf numFmtId="0" fontId="4" fillId="0" borderId="0" xfId="0" applyFont="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8" fillId="0" borderId="0" xfId="0" applyFont="1" applyBorder="1" applyAlignment="1"/>
    <xf numFmtId="0" fontId="7" fillId="0" borderId="0" xfId="0" applyFont="1" applyBorder="1" applyAlignment="1">
      <alignment wrapText="1"/>
    </xf>
    <xf numFmtId="0" fontId="6" fillId="0" borderId="0" xfId="0" applyFont="1" applyBorder="1" applyAlignment="1"/>
    <xf numFmtId="2" fontId="9" fillId="0" borderId="0" xfId="0" applyNumberFormat="1" applyFont="1" applyBorder="1" applyAlignment="1">
      <alignment horizontal="center"/>
    </xf>
    <xf numFmtId="0" fontId="0" fillId="0" borderId="0" xfId="0" applyAlignment="1"/>
    <xf numFmtId="0" fontId="3" fillId="0" borderId="1" xfId="0" applyFont="1" applyBorder="1" applyAlignment="1">
      <alignment horizontal="center"/>
    </xf>
    <xf numFmtId="0" fontId="3" fillId="0" borderId="2" xfId="0" applyFont="1" applyBorder="1" applyAlignment="1">
      <alignment horizontal="center"/>
    </xf>
    <xf numFmtId="2" fontId="5" fillId="0" borderId="3" xfId="0" applyNumberFormat="1" applyFont="1" applyBorder="1" applyAlignment="1">
      <alignment horizontal="center"/>
    </xf>
    <xf numFmtId="2" fontId="5" fillId="0" borderId="4" xfId="0" applyNumberFormat="1" applyFont="1" applyBorder="1" applyAlignment="1">
      <alignment horizontal="center"/>
    </xf>
    <xf numFmtId="2" fontId="5" fillId="0" borderId="5" xfId="0" applyNumberFormat="1" applyFont="1" applyBorder="1" applyAlignment="1">
      <alignment horizontal="center"/>
    </xf>
    <xf numFmtId="2" fontId="5" fillId="0" borderId="6" xfId="0" applyNumberFormat="1" applyFont="1" applyBorder="1" applyAlignment="1">
      <alignment horizontal="center"/>
    </xf>
    <xf numFmtId="0" fontId="10" fillId="0" borderId="0" xfId="0" applyFont="1" applyAlignment="1">
      <alignment horizontal="center"/>
    </xf>
    <xf numFmtId="0" fontId="11" fillId="0" borderId="0" xfId="0" applyFont="1" applyAlignment="1">
      <alignment horizontal="center"/>
    </xf>
    <xf numFmtId="0" fontId="12" fillId="0" borderId="0" xfId="0" applyFont="1" applyAlignment="1">
      <alignment horizontal="center"/>
    </xf>
    <xf numFmtId="0" fontId="12" fillId="0" borderId="0" xfId="0" applyFont="1" applyAlignment="1"/>
    <xf numFmtId="0" fontId="13" fillId="0" borderId="0" xfId="0" applyFont="1" applyAlignment="1">
      <alignment horizontal="center"/>
    </xf>
    <xf numFmtId="0" fontId="14" fillId="0" borderId="0" xfId="0" applyFont="1" applyAlignment="1">
      <alignment horizontal="center"/>
    </xf>
    <xf numFmtId="0" fontId="14" fillId="0" borderId="0" xfId="0" applyFont="1"/>
    <xf numFmtId="0" fontId="1" fillId="0" borderId="0" xfId="0" applyFont="1" applyAlignment="1"/>
    <xf numFmtId="0" fontId="0" fillId="0" borderId="0" xfId="0" applyAlignme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pivotCacheDefinition" Target="pivotCache/pivotCacheDefinition4.xml"/><Relationship Id="rId13" Type="http://purl.oclc.org/ooxml/officeDocument/relationships/theme" Target="theme/theme1.xml"/><Relationship Id="rId18" Type="http://purl.oclc.org/ooxml/officeDocument/relationships/calcChain" Target="calcChain.xml"/><Relationship Id="rId3" Type="http://purl.oclc.org/ooxml/officeDocument/relationships/worksheet" Target="worksheets/sheet3.xml"/><Relationship Id="rId7" Type="http://purl.oclc.org/ooxml/officeDocument/relationships/pivotCacheDefinition" Target="pivotCache/pivotCacheDefinition3.xml"/><Relationship Id="rId12" Type="http://schemas.microsoft.com/office/2007/relationships/slicerCache" Target="slicerCaches/slicerCache4.xml"/><Relationship Id="rId17" Type="http://schemas.openxmlformats.org/officeDocument/2006/relationships/powerPivotData" Target="model/item.data"/><Relationship Id="rId2" Type="http://purl.oclc.org/ooxml/officeDocument/relationships/worksheet" Target="worksheets/sheet2.xml"/><Relationship Id="rId16" Type="http://purl.oclc.org/ooxml/officeDocument/relationships/sharedStrings" Target="sharedStrings.xml"/><Relationship Id="rId1" Type="http://purl.oclc.org/ooxml/officeDocument/relationships/worksheet" Target="worksheets/sheet1.xml"/><Relationship Id="rId6" Type="http://purl.oclc.org/ooxml/officeDocument/relationships/pivotCacheDefinition" Target="pivotCache/pivotCacheDefinition2.xml"/><Relationship Id="rId11" Type="http://schemas.microsoft.com/office/2007/relationships/slicerCache" Target="slicerCaches/slicerCache3.xml"/><Relationship Id="rId5" Type="http://purl.oclc.org/ooxml/officeDocument/relationships/pivotCacheDefinition" Target="pivotCache/pivotCacheDefinition1.xml"/><Relationship Id="rId15" Type="http://purl.oclc.org/ooxml/officeDocument/relationships/styles" Target="styles.xml"/><Relationship Id="rId10" Type="http://schemas.microsoft.com/office/2007/relationships/slicerCache" Target="slicerCaches/slicerCache2.xml"/><Relationship Id="rId4" Type="http://purl.oclc.org/ooxml/officeDocument/relationships/worksheet" Target="worksheets/sheet4.xml"/><Relationship Id="rId9" Type="http://schemas.microsoft.com/office/2007/relationships/slicerCache" Target="slicerCaches/slicerCache1.xml"/><Relationship Id="rId14" Type="http://purl.oclc.org/ooxml/officeDocument/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[Customer_support_dashboard.xlsx]Pivot Table!PivotTable1</c:name>
    <c:fmtId val="9"/>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
                  <a:lumOff val="50%"/>
                </a:schemeClr>
              </a:solidFill>
              <a:latin typeface="+mn-lt"/>
              <a:ea typeface="+mn-ea"/>
              <a:cs typeface="+mn-cs"/>
            </a:defRPr>
          </a:pPr>
          <a:endParaRPr lang="en-US"/>
        </a:p>
      </c:txPr>
    </c:title>
    <c:autoTitleDeleted val="0"/>
    <c:pivotFmts>
      <c:pivotFmt>
        <c:idx val="0"/>
        <c:spPr>
          <a:pattFill prst="narVert">
            <a:fgClr>
              <a:schemeClr val="accent6"/>
            </a:fgClr>
            <a:bgClr>
              <a:schemeClr val="accent6">
                <a:lumMod val="20%"/>
                <a:lumOff val="8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6"/>
            </a:fgClr>
            <a:bgClr>
              <a:schemeClr val="accent6">
                <a:lumMod val="20%"/>
                <a:lumOff val="8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6"/>
            </a:fgClr>
            <a:bgClr>
              <a:schemeClr val="accent6">
                <a:lumMod val="20%"/>
                <a:lumOff val="8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pattFill prst="narVert">
              <a:fgClr>
                <a:schemeClr val="accent6"/>
              </a:fgClr>
              <a:bgClr>
                <a:schemeClr val="accent6">
                  <a:lumMod val="20%"/>
                  <a:lumOff val="8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
                          <a:lumOff val="65%"/>
                        </a:schemeClr>
                      </a:solidFill>
                    </a:ln>
                    <a:effectLst/>
                  </c:spPr>
                </c15:leaderLines>
              </c:ext>
            </c:extLst>
          </c:dLbls>
          <c:cat>
            <c:strRef>
              <c:f>'Pivot Table'!$A$4:$A$9</c:f>
              <c:strCache>
                <c:ptCount val="5"/>
                <c:pt idx="0">
                  <c:v>Account Access</c:v>
                </c:pt>
                <c:pt idx="1">
                  <c:v>Billing</c:v>
                </c:pt>
                <c:pt idx="2">
                  <c:v>Login Issues</c:v>
                </c:pt>
                <c:pt idx="3">
                  <c:v>Refund Request</c:v>
                </c:pt>
                <c:pt idx="4">
                  <c:v>Technical</c:v>
                </c:pt>
              </c:strCache>
            </c:strRef>
          </c:cat>
          <c:val>
            <c:numRef>
              <c:f>'Pivot Table'!$B$4:$B$9</c:f>
              <c:numCache>
                <c:formatCode>General</c:formatCode>
                <c:ptCount val="5"/>
                <c:pt idx="0">
                  <c:v>142</c:v>
                </c:pt>
                <c:pt idx="1">
                  <c:v>167</c:v>
                </c:pt>
                <c:pt idx="2">
                  <c:v>142</c:v>
                </c:pt>
                <c:pt idx="3">
                  <c:v>141</c:v>
                </c:pt>
                <c:pt idx="4">
                  <c:v>142</c:v>
                </c:pt>
              </c:numCache>
            </c:numRef>
          </c:val>
          <c:extLst>
            <c:ext xmlns:c16="http://schemas.microsoft.com/office/drawing/2014/chart" uri="{C3380CC4-5D6E-409C-BE32-E72D297353CC}">
              <c16:uniqueId val="{00000001-D43E-4BE9-9A00-309704F2DCD9}"/>
            </c:ext>
          </c:extLst>
        </c:ser>
        <c:dLbls>
          <c:dLblPos val="inEnd"/>
          <c:showLegendKey val="0"/>
          <c:showVal val="1"/>
          <c:showCatName val="0"/>
          <c:showSerName val="0"/>
          <c:showPercent val="0"/>
          <c:showBubbleSize val="0"/>
        </c:dLbls>
        <c:gapWidth val="227"/>
        <c:overlap val="-48"/>
        <c:axId val="1077825455"/>
        <c:axId val="1077826415"/>
      </c:barChart>
      <c:catAx>
        <c:axId val="1077825455"/>
        <c:scaling>
          <c:orientation val="minMax"/>
        </c:scaling>
        <c:delete val="0"/>
        <c:axPos val="l"/>
        <c:numFmt formatCode="General" sourceLinked="1"/>
        <c:majorTickMark val="none"/>
        <c:minorTickMark val="none"/>
        <c:tickLblPos val="nextTo"/>
        <c:spPr>
          <a:noFill/>
          <a:ln w="19050" cap="flat" cmpd="sng" algn="ctr">
            <a:solidFill>
              <a:schemeClr val="tx1">
                <a:lumMod val="25%"/>
                <a:lumOff val="7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077826415"/>
        <c:crosses val="autoZero"/>
        <c:auto val="1"/>
        <c:lblAlgn val="ctr"/>
        <c:lblOffset val="100"/>
        <c:noMultiLvlLbl val="0"/>
      </c:catAx>
      <c:valAx>
        <c:axId val="1077826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07782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[Customer_support_dashboard.xlsx]Pivot Table!PivotTable2</c:name>
    <c:fmtId val="24"/>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
                  <a:lumOff val="50%"/>
                </a:schemeClr>
              </a:solidFill>
              <a:latin typeface="+mn-lt"/>
              <a:ea typeface="+mn-ea"/>
              <a:cs typeface="+mn-cs"/>
            </a:defRPr>
          </a:pPr>
          <a:endParaRPr lang="en-US"/>
        </a:p>
      </c:txPr>
    </c:title>
    <c:autoTitleDeleted val="0"/>
    <c:pivotFmts>
      <c:pivotFmt>
        <c:idx val="0"/>
        <c:spPr>
          <a:pattFill prst="narVert">
            <a:fgClr>
              <a:schemeClr val="accent6"/>
            </a:fgClr>
            <a:bgClr>
              <a:schemeClr val="accent6">
                <a:lumMod val="20%"/>
                <a:lumOff val="80%"/>
              </a:schemeClr>
            </a:bgClr>
          </a:pattFill>
          <a:ln>
            <a:noFill/>
          </a:ln>
          <a:effectLst>
            <a:innerShdw blurRad="114300">
              <a:schemeClr val="accent6"/>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6"/>
            </a:fgClr>
            <a:bgClr>
              <a:schemeClr val="accent6">
                <a:lumMod val="20%"/>
                <a:lumOff val="8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6"/>
            </a:fgClr>
            <a:bgClr>
              <a:schemeClr val="accent6">
                <a:lumMod val="20%"/>
                <a:lumOff val="80%"/>
              </a:schemeClr>
            </a:bgClr>
          </a:pattFill>
          <a:ln>
            <a:noFill/>
          </a:ln>
          <a:effectLst>
            <a:innerShdw blurRad="114300">
              <a:schemeClr val="accent6"/>
            </a:innerShdw>
          </a:effectLst>
        </c:spPr>
      </c:pivotFmt>
      <c:pivotFmt>
        <c:idx val="3"/>
        <c:spPr>
          <a:pattFill prst="narVert">
            <a:fgClr>
              <a:schemeClr val="accent6"/>
            </a:fgClr>
            <a:bgClr>
              <a:schemeClr val="accent6">
                <a:lumMod val="20%"/>
                <a:lumOff val="80%"/>
              </a:schemeClr>
            </a:bgClr>
          </a:pattFill>
          <a:ln>
            <a:noFill/>
          </a:ln>
          <a:effectLst>
            <a:innerShdw blurRad="114300">
              <a:schemeClr val="accent6"/>
            </a:innerShdw>
          </a:effectLst>
        </c:spPr>
      </c:pivotFmt>
      <c:pivotFmt>
        <c:idx val="4"/>
        <c:spPr>
          <a:pattFill prst="narVert">
            <a:fgClr>
              <a:schemeClr val="accent6"/>
            </a:fgClr>
            <a:bgClr>
              <a:schemeClr val="accent6">
                <a:lumMod val="20%"/>
                <a:lumOff val="80%"/>
              </a:schemeClr>
            </a:bgClr>
          </a:pattFill>
          <a:ln>
            <a:noFill/>
          </a:ln>
          <a:effectLst>
            <a:innerShdw blurRad="114300">
              <a:schemeClr val="accent6"/>
            </a:innerShdw>
          </a:effectLst>
        </c:spPr>
      </c:pivotFmt>
      <c:pivotFmt>
        <c:idx val="5"/>
        <c:spPr>
          <a:pattFill prst="narVert">
            <a:fgClr>
              <a:schemeClr val="accent6"/>
            </a:fgClr>
            <a:bgClr>
              <a:schemeClr val="accent6">
                <a:lumMod val="20%"/>
                <a:lumOff val="80%"/>
              </a:schemeClr>
            </a:bgClr>
          </a:pattFill>
          <a:ln>
            <a:noFill/>
          </a:ln>
          <a:effectLst>
            <a:innerShdw blurRad="114300">
              <a:schemeClr val="accent6"/>
            </a:innerShdw>
          </a:effectLst>
        </c:spPr>
      </c:pivotFmt>
      <c:pivotFmt>
        <c:idx val="6"/>
        <c:spPr>
          <a:pattFill prst="narVert">
            <a:fgClr>
              <a:schemeClr val="accent6"/>
            </a:fgClr>
            <a:bgClr>
              <a:schemeClr val="accent6">
                <a:lumMod val="20%"/>
                <a:lumOff val="8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Vert">
            <a:fgClr>
              <a:schemeClr val="accent6"/>
            </a:fgClr>
            <a:bgClr>
              <a:schemeClr val="accent6">
                <a:lumMod val="20%"/>
                <a:lumOff val="80%"/>
              </a:schemeClr>
            </a:bgClr>
          </a:pattFill>
          <a:ln>
            <a:noFill/>
          </a:ln>
          <a:effectLst>
            <a:innerShdw blurRad="114300">
              <a:schemeClr val="accent6"/>
            </a:innerShdw>
          </a:effectLst>
        </c:spPr>
      </c:pivotFmt>
      <c:pivotFmt>
        <c:idx val="8"/>
        <c:spPr>
          <a:pattFill prst="narVert">
            <a:fgClr>
              <a:schemeClr val="accent6"/>
            </a:fgClr>
            <a:bgClr>
              <a:schemeClr val="accent6">
                <a:lumMod val="20%"/>
                <a:lumOff val="80%"/>
              </a:schemeClr>
            </a:bgClr>
          </a:pattFill>
          <a:ln>
            <a:noFill/>
          </a:ln>
          <a:effectLst>
            <a:innerShdw blurRad="114300">
              <a:schemeClr val="accent6"/>
            </a:innerShdw>
          </a:effectLst>
        </c:spPr>
      </c:pivotFmt>
      <c:pivotFmt>
        <c:idx val="9"/>
        <c:spPr>
          <a:pattFill prst="narVert">
            <a:fgClr>
              <a:schemeClr val="accent6"/>
            </a:fgClr>
            <a:bgClr>
              <a:schemeClr val="accent6">
                <a:lumMod val="20%"/>
                <a:lumOff val="80%"/>
              </a:schemeClr>
            </a:bgClr>
          </a:pattFill>
          <a:ln>
            <a:noFill/>
          </a:ln>
          <a:effectLst>
            <a:innerShdw blurRad="114300">
              <a:schemeClr val="accent6"/>
            </a:innerShdw>
          </a:effectLst>
        </c:spPr>
      </c:pivotFmt>
      <c:pivotFmt>
        <c:idx val="10"/>
        <c:spPr>
          <a:pattFill prst="narVert">
            <a:fgClr>
              <a:schemeClr val="accent6"/>
            </a:fgClr>
            <a:bgClr>
              <a:schemeClr val="accent6">
                <a:lumMod val="20%"/>
                <a:lumOff val="80%"/>
              </a:schemeClr>
            </a:bgClr>
          </a:pattFill>
          <a:ln>
            <a:noFill/>
          </a:ln>
          <a:effectLst>
            <a:innerShdw blurRad="114300">
              <a:schemeClr val="accent6"/>
            </a:innerShdw>
          </a:effectLst>
        </c:spPr>
      </c:pivotFmt>
    </c:pivotFmts>
    <c:plotArea>
      <c:layout/>
      <c:pieChart>
        <c:varyColors val="1"/>
        <c:ser>
          <c:idx val="0"/>
          <c:order val="0"/>
          <c:tx>
            <c:strRef>
              <c:f>'Pivot Table'!$M$3</c:f>
              <c:strCache>
                <c:ptCount val="1"/>
                <c:pt idx="0">
                  <c:v>Total</c:v>
                </c:pt>
              </c:strCache>
            </c:strRef>
          </c:tx>
          <c:dPt>
            <c:idx val="0"/>
            <c:bubble3D val="0"/>
            <c:spPr>
              <a:pattFill prst="narVert">
                <a:fgClr>
                  <a:schemeClr val="accent6"/>
                </a:fgClr>
                <a:bgClr>
                  <a:schemeClr val="accent6">
                    <a:lumMod val="20%"/>
                    <a:lumOff val="80%"/>
                  </a:schemeClr>
                </a:bgClr>
              </a:pattFill>
              <a:ln>
                <a:noFill/>
              </a:ln>
              <a:effectLst>
                <a:innerShdw blurRad="114300">
                  <a:schemeClr val="accent6"/>
                </a:innerShdw>
              </a:effectLst>
            </c:spPr>
          </c:dPt>
          <c:dPt>
            <c:idx val="1"/>
            <c:bubble3D val="0"/>
            <c:spPr>
              <a:pattFill prst="narVert">
                <a:fgClr>
                  <a:schemeClr val="accent5"/>
                </a:fgClr>
                <a:bgClr>
                  <a:schemeClr val="accent5">
                    <a:lumMod val="20%"/>
                    <a:lumOff val="80%"/>
                  </a:schemeClr>
                </a:bgClr>
              </a:pattFill>
              <a:ln>
                <a:noFill/>
              </a:ln>
              <a:effectLst>
                <a:innerShdw blurRad="114300">
                  <a:schemeClr val="accent5"/>
                </a:innerShdw>
              </a:effectLst>
            </c:spPr>
          </c:dPt>
          <c:dPt>
            <c:idx val="2"/>
            <c:bubble3D val="0"/>
            <c:spPr>
              <a:pattFill prst="narVert">
                <a:fgClr>
                  <a:schemeClr val="accent4"/>
                </a:fgClr>
                <a:bgClr>
                  <a:schemeClr val="accent4">
                    <a:lumMod val="20%"/>
                    <a:lumOff val="80%"/>
                  </a:schemeClr>
                </a:bgClr>
              </a:pattFill>
              <a:ln>
                <a:noFill/>
              </a:ln>
              <a:effectLst>
                <a:innerShdw blurRad="114300">
                  <a:schemeClr val="accent4"/>
                </a:innerShdw>
              </a:effectLst>
            </c:spPr>
          </c:dPt>
          <c:dPt>
            <c:idx val="3"/>
            <c:bubble3D val="0"/>
            <c:spPr>
              <a:pattFill prst="narVert">
                <a:fgClr>
                  <a:schemeClr val="accent6">
                    <a:lumMod val="60%"/>
                  </a:schemeClr>
                </a:fgClr>
                <a:bgClr>
                  <a:schemeClr val="accent6">
                    <a:lumMod val="60%"/>
                    <a:lumMod val="20%"/>
                    <a:lumOff val="80%"/>
                  </a:schemeClr>
                </a:bgClr>
              </a:pattFill>
              <a:ln>
                <a:noFill/>
              </a:ln>
              <a:effectLst>
                <a:innerShdw blurRad="114300">
                  <a:schemeClr val="accent6">
                    <a:lumMod val="60%"/>
                  </a:schemeClr>
                </a:innerShdw>
              </a:effectLst>
            </c:spPr>
          </c:dPt>
          <c:cat>
            <c:strRef>
              <c:f>'Pivot Table'!$L$4:$L$8</c:f>
              <c:strCache>
                <c:ptCount val="4"/>
                <c:pt idx="0">
                  <c:v>Closed</c:v>
                </c:pt>
                <c:pt idx="1">
                  <c:v>Escalated</c:v>
                </c:pt>
                <c:pt idx="2">
                  <c:v>Open</c:v>
                </c:pt>
                <c:pt idx="3">
                  <c:v>Pending</c:v>
                </c:pt>
              </c:strCache>
            </c:strRef>
          </c:cat>
          <c:val>
            <c:numRef>
              <c:f>'Pivot Table'!$M$4:$M$8</c:f>
              <c:numCache>
                <c:formatCode>General</c:formatCode>
                <c:ptCount val="4"/>
                <c:pt idx="0">
                  <c:v>261</c:v>
                </c:pt>
                <c:pt idx="1">
                  <c:v>118</c:v>
                </c:pt>
                <c:pt idx="2">
                  <c:v>231</c:v>
                </c:pt>
                <c:pt idx="3">
                  <c:v>124</c:v>
                </c:pt>
              </c:numCache>
            </c:numRef>
          </c:val>
          <c:extLst>
            <c:ext xmlns:c16="http://schemas.microsoft.com/office/drawing/2014/chart" uri="{C3380CC4-5D6E-409C-BE32-E72D297353CC}">
              <c16:uniqueId val="{00000009-2557-4A69-9134-849C8CD05A2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[Customer_support_dashboard.xlsx]Pivot Table!PivotTable5</c:name>
    <c:fmtId val="14"/>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
                  <a:lumOff val="50%"/>
                </a:schemeClr>
              </a:solidFill>
              <a:latin typeface="+mn-lt"/>
              <a:ea typeface="+mn-ea"/>
              <a:cs typeface="+mn-cs"/>
            </a:defRPr>
          </a:pPr>
          <a:endParaRPr lang="en-US"/>
        </a:p>
      </c:txPr>
    </c:title>
    <c:autoTitleDeleted val="0"/>
    <c:pivotFmts>
      <c:pivotFmt>
        <c:idx val="0"/>
        <c:spPr>
          <a:pattFill prst="ltDnDiag">
            <a:fgClr>
              <a:schemeClr val="accent6"/>
            </a:fgClr>
            <a:bgClr>
              <a:schemeClr val="accent6">
                <a:lumMod val="20%"/>
                <a:lumOff val="80%"/>
              </a:schemeClr>
            </a:bgClr>
          </a:pattFill>
          <a:ln>
            <a:solidFill>
              <a:schemeClr val="accent6"/>
            </a:solidFill>
          </a:ln>
          <a:effectLst/>
          <a:sp3d>
            <a:contourClr>
              <a:schemeClr val="accent6"/>
            </a:contourClr>
          </a:sp3d>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6"/>
            </a:fgClr>
            <a:bgClr>
              <a:schemeClr val="accent6">
                <a:lumMod val="20%"/>
                <a:lumOff val="8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6"/>
            </a:fgClr>
            <a:bgClr>
              <a:schemeClr val="accent6">
                <a:lumMod val="20%"/>
                <a:lumOff val="8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
              <a:lumOff val="75%"/>
            </a:schemeClr>
          </a:solidFill>
          <a:round/>
        </a:ln>
        <a:effectLst/>
        <a:sp3d contourW="19050">
          <a:contourClr>
            <a:schemeClr val="tx1">
              <a:lumMod val="25%"/>
              <a:lumOff val="75%"/>
            </a:schemeClr>
          </a:contourClr>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Table'!$B$17</c:f>
              <c:strCache>
                <c:ptCount val="1"/>
                <c:pt idx="0">
                  <c:v>Total</c:v>
                </c:pt>
              </c:strCache>
            </c:strRef>
          </c:tx>
          <c:spPr>
            <a:pattFill prst="ltDnDiag">
              <a:fgClr>
                <a:schemeClr val="accent6"/>
              </a:fgClr>
              <a:bgClr>
                <a:schemeClr val="accent6">
                  <a:lumMod val="20%"/>
                  <a:lumOff val="80%"/>
                </a:schemeClr>
              </a:bgClr>
            </a:pattFill>
            <a:ln>
              <a:solidFill>
                <a:schemeClr val="accent6"/>
              </a:solidFill>
            </a:ln>
            <a:effectLst/>
            <a:sp3d>
              <a:contourClr>
                <a:schemeClr val="accent6"/>
              </a:contourClr>
            </a:sp3d>
          </c:spPr>
          <c:invertIfNegative val="0"/>
          <c:cat>
            <c:strRef>
              <c:f>'Pivot Table'!$A$18:$A$26</c:f>
              <c:strCache>
                <c:ptCount val="8"/>
                <c:pt idx="0">
                  <c:v>Emma</c:v>
                </c:pt>
                <c:pt idx="1">
                  <c:v>James</c:v>
                </c:pt>
                <c:pt idx="2">
                  <c:v>John</c:v>
                </c:pt>
                <c:pt idx="3">
                  <c:v>Lea</c:v>
                </c:pt>
                <c:pt idx="4">
                  <c:v>Mike</c:v>
                </c:pt>
                <c:pt idx="5">
                  <c:v>Sarah</c:v>
                </c:pt>
                <c:pt idx="6">
                  <c:v>William</c:v>
                </c:pt>
                <c:pt idx="7">
                  <c:v>Zoey</c:v>
                </c:pt>
              </c:strCache>
            </c:strRef>
          </c:cat>
          <c:val>
            <c:numRef>
              <c:f>'Pivot Table'!$B$18:$B$26</c:f>
              <c:numCache>
                <c:formatCode>General</c:formatCode>
                <c:ptCount val="8"/>
                <c:pt idx="0">
                  <c:v>14.518518518518519</c:v>
                </c:pt>
                <c:pt idx="1">
                  <c:v>15.208333333333334</c:v>
                </c:pt>
                <c:pt idx="2">
                  <c:v>15.470588235294118</c:v>
                </c:pt>
                <c:pt idx="3">
                  <c:v>13.035714285714286</c:v>
                </c:pt>
                <c:pt idx="4">
                  <c:v>17.621621621621621</c:v>
                </c:pt>
                <c:pt idx="5">
                  <c:v>19.225806451612904</c:v>
                </c:pt>
                <c:pt idx="6">
                  <c:v>13.966666666666667</c:v>
                </c:pt>
                <c:pt idx="7">
                  <c:v>16.26923076923077</c:v>
                </c:pt>
              </c:numCache>
            </c:numRef>
          </c:val>
          <c:extLst>
            <c:ext xmlns:c16="http://schemas.microsoft.com/office/drawing/2014/chart" uri="{C3380CC4-5D6E-409C-BE32-E72D297353CC}">
              <c16:uniqueId val="{00000000-70F2-4633-B799-366075EA634F}"/>
            </c:ext>
          </c:extLst>
        </c:ser>
        <c:dLbls>
          <c:showLegendKey val="0"/>
          <c:showVal val="0"/>
          <c:showCatName val="0"/>
          <c:showSerName val="0"/>
          <c:showPercent val="0"/>
          <c:showBubbleSize val="0"/>
        </c:dLbls>
        <c:gapWidth val="150"/>
        <c:shape val="box"/>
        <c:axId val="580200047"/>
        <c:axId val="580201007"/>
        <c:axId val="0"/>
      </c:bar3DChart>
      <c:catAx>
        <c:axId val="580200047"/>
        <c:scaling>
          <c:orientation val="minMax"/>
        </c:scaling>
        <c:delete val="0"/>
        <c:axPos val="b"/>
        <c:numFmt formatCode="General" sourceLinked="1"/>
        <c:majorTickMark val="none"/>
        <c:minorTickMark val="none"/>
        <c:tickLblPos val="nextTo"/>
        <c:spPr>
          <a:noFill/>
          <a:ln w="19050" cap="flat" cmpd="sng" algn="ctr">
            <a:solidFill>
              <a:schemeClr val="tx1">
                <a:lumMod val="25%"/>
                <a:lumOff val="7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80201007"/>
        <c:crosses val="autoZero"/>
        <c:auto val="1"/>
        <c:lblAlgn val="ctr"/>
        <c:lblOffset val="100"/>
        <c:noMultiLvlLbl val="0"/>
      </c:catAx>
      <c:valAx>
        <c:axId val="580201007"/>
        <c:scaling>
          <c:orientation val="minMax"/>
        </c:scaling>
        <c:delete val="0"/>
        <c:axPos val="l"/>
        <c:majorGridlines>
          <c:spPr>
            <a:ln>
              <a:solidFill>
                <a:schemeClr val="tx1">
                  <a:lumMod val="15%"/>
                  <a:lumOff val="85%"/>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8020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[Customer_support_dashboard.xlsx]Pivot Table!PivotTable6</c:name>
    <c:fmtId val="14"/>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
                  <a:lumOff val="5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
                <a:lumOff val="80%"/>
              </a:schemeClr>
            </a:bgClr>
          </a:pattFill>
          <a:ln w="28575" cap="rnd">
            <a:solidFill>
              <a:schemeClr val="accent6"/>
            </a:solidFill>
            <a:round/>
          </a:ln>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
                <a:lumOff val="80%"/>
              </a:schemeClr>
            </a:bgClr>
          </a:pattFill>
          <a:ln w="28575" cap="rnd">
            <a:solidFill>
              <a:schemeClr val="accent6"/>
            </a:solidFill>
            <a:round/>
          </a:ln>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Table'!$B$31</c:f>
              <c:strCache>
                <c:ptCount val="1"/>
                <c:pt idx="0">
                  <c:v>Total</c:v>
                </c:pt>
              </c:strCache>
            </c:strRef>
          </c:tx>
          <c:spPr>
            <a:ln w="28575" cap="rnd">
              <a:solidFill>
                <a:schemeClr val="accent6"/>
              </a:solidFill>
              <a:round/>
            </a:ln>
            <a:effectLst/>
          </c:spPr>
          <c:marker>
            <c:symbol val="circle"/>
            <c:size val="6"/>
            <c:spPr>
              <a:solidFill>
                <a:schemeClr val="accent6"/>
              </a:solidFill>
              <a:ln>
                <a:noFill/>
              </a:ln>
              <a:effectLst/>
            </c:spPr>
          </c:marker>
          <c:cat>
            <c:strRef>
              <c:f>'Pivot Table'!$A$32:$A$44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Table'!$B$32:$B$44</c:f>
              <c:numCache>
                <c:formatCode>General</c:formatCode>
                <c:ptCount val="12"/>
                <c:pt idx="0">
                  <c:v>66</c:v>
                </c:pt>
                <c:pt idx="1">
                  <c:v>56</c:v>
                </c:pt>
                <c:pt idx="2">
                  <c:v>62</c:v>
                </c:pt>
                <c:pt idx="3">
                  <c:v>60</c:v>
                </c:pt>
                <c:pt idx="4">
                  <c:v>62</c:v>
                </c:pt>
                <c:pt idx="5">
                  <c:v>60</c:v>
                </c:pt>
                <c:pt idx="6">
                  <c:v>62</c:v>
                </c:pt>
                <c:pt idx="7">
                  <c:v>62</c:v>
                </c:pt>
                <c:pt idx="8">
                  <c:v>60</c:v>
                </c:pt>
                <c:pt idx="9">
                  <c:v>62</c:v>
                </c:pt>
                <c:pt idx="10">
                  <c:v>60</c:v>
                </c:pt>
                <c:pt idx="11">
                  <c:v>62</c:v>
                </c:pt>
              </c:numCache>
            </c:numRef>
          </c:val>
          <c:smooth val="0"/>
          <c:extLst>
            <c:ext xmlns:c16="http://schemas.microsoft.com/office/drawing/2014/chart" uri="{C3380CC4-5D6E-409C-BE32-E72D297353CC}">
              <c16:uniqueId val="{00000000-6480-435D-B496-EDCD9BDFEAD0}"/>
            </c:ext>
          </c:extLst>
        </c:ser>
        <c:dLbls>
          <c:showLegendKey val="0"/>
          <c:showVal val="0"/>
          <c:showCatName val="0"/>
          <c:showSerName val="0"/>
          <c:showPercent val="0"/>
          <c:showBubbleSize val="0"/>
        </c:dLbls>
        <c:marker val="1"/>
        <c:smooth val="0"/>
        <c:axId val="1605503151"/>
        <c:axId val="1605503631"/>
      </c:lineChart>
      <c:catAx>
        <c:axId val="1605503151"/>
        <c:scaling>
          <c:orientation val="minMax"/>
        </c:scaling>
        <c:delete val="0"/>
        <c:axPos val="b"/>
        <c:numFmt formatCode="General" sourceLinked="1"/>
        <c:majorTickMark val="none"/>
        <c:minorTickMark val="none"/>
        <c:tickLblPos val="nextTo"/>
        <c:spPr>
          <a:noFill/>
          <a:ln w="19050" cap="flat" cmpd="sng" algn="ctr">
            <a:solidFill>
              <a:schemeClr val="tx1">
                <a:lumMod val="25%"/>
                <a:lumOff val="7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605503631"/>
        <c:crosses val="autoZero"/>
        <c:auto val="1"/>
        <c:lblAlgn val="ctr"/>
        <c:lblOffset val="100"/>
        <c:noMultiLvlLbl val="0"/>
      </c:catAx>
      <c:valAx>
        <c:axId val="1605503631"/>
        <c:scaling>
          <c:orientation val="minMax"/>
        </c:scaling>
        <c:delete val="0"/>
        <c:axPos val="l"/>
        <c:majorGridlines>
          <c:spPr>
            <a:ln>
              <a:solidFill>
                <a:schemeClr val="tx1">
                  <a:lumMod val="15%"/>
                  <a:lumOff val="85%"/>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60550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[Customer_support_dashboard.xlsx]Pivot Table!PivotTable7</c:name>
    <c:fmtId val="11"/>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
                  <a:lumOff val="5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
                <a:lumOff val="8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
                <a:lumOff val="8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
                <a:lumOff val="8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Table'!$M$17</c:f>
              <c:strCache>
                <c:ptCount val="1"/>
                <c:pt idx="0">
                  <c:v>Total</c:v>
                </c:pt>
              </c:strCache>
            </c:strRef>
          </c:tx>
          <c:spPr>
            <a:pattFill prst="narHorz">
              <a:fgClr>
                <a:schemeClr val="accent6"/>
              </a:fgClr>
              <a:bgClr>
                <a:schemeClr val="accent6">
                  <a:lumMod val="20%"/>
                  <a:lumOff val="8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
                          <a:lumOff val="65%"/>
                        </a:schemeClr>
                      </a:solidFill>
                    </a:ln>
                    <a:effectLst/>
                  </c:spPr>
                </c15:leaderLines>
              </c:ext>
            </c:extLst>
          </c:dLbls>
          <c:cat>
            <c:strRef>
              <c:f>'Pivot Table'!$L$18:$L$22</c:f>
              <c:strCache>
                <c:ptCount val="4"/>
                <c:pt idx="0">
                  <c:v>3</c:v>
                </c:pt>
                <c:pt idx="1">
                  <c:v>4</c:v>
                </c:pt>
                <c:pt idx="2">
                  <c:v>5</c:v>
                </c:pt>
              </c:strCache>
            </c:strRef>
          </c:cat>
          <c:val>
            <c:numRef>
              <c:f>'Pivot Table'!$M$18:$M$22</c:f>
              <c:numCache>
                <c:formatCode>General</c:formatCode>
                <c:ptCount val="4"/>
                <c:pt idx="0">
                  <c:v>71</c:v>
                </c:pt>
                <c:pt idx="1">
                  <c:v>105</c:v>
                </c:pt>
                <c:pt idx="2">
                  <c:v>85</c:v>
                </c:pt>
                <c:pt idx="3">
                  <c:v>473</c:v>
                </c:pt>
              </c:numCache>
            </c:numRef>
          </c:val>
          <c:extLst>
            <c:ext xmlns:c16="http://schemas.microsoft.com/office/drawing/2014/chart" uri="{C3380CC4-5D6E-409C-BE32-E72D297353CC}">
              <c16:uniqueId val="{00000000-95AE-4C49-AA6A-779FCE70FB0F}"/>
            </c:ext>
          </c:extLst>
        </c:ser>
        <c:dLbls>
          <c:dLblPos val="ctr"/>
          <c:showLegendKey val="0"/>
          <c:showVal val="1"/>
          <c:showCatName val="0"/>
          <c:showSerName val="0"/>
          <c:showPercent val="0"/>
          <c:showBubbleSize val="0"/>
        </c:dLbls>
        <c:gapWidth val="150"/>
        <c:overlap val="100"/>
        <c:axId val="1079692463"/>
        <c:axId val="1079694383"/>
      </c:barChart>
      <c:catAx>
        <c:axId val="1079692463"/>
        <c:scaling>
          <c:orientation val="minMax"/>
        </c:scaling>
        <c:delete val="0"/>
        <c:axPos val="b"/>
        <c:numFmt formatCode="General" sourceLinked="1"/>
        <c:majorTickMark val="none"/>
        <c:minorTickMark val="none"/>
        <c:tickLblPos val="nextTo"/>
        <c:spPr>
          <a:noFill/>
          <a:ln w="19050" cap="flat" cmpd="sng" algn="ctr">
            <a:solidFill>
              <a:schemeClr val="tx1">
                <a:lumMod val="25%"/>
                <a:lumOff val="7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079694383"/>
        <c:crosses val="autoZero"/>
        <c:auto val="1"/>
        <c:lblAlgn val="ctr"/>
        <c:lblOffset val="100"/>
        <c:noMultiLvlLbl val="0"/>
      </c:catAx>
      <c:valAx>
        <c:axId val="1079694383"/>
        <c:scaling>
          <c:orientation val="minMax"/>
        </c:scaling>
        <c:delete val="0"/>
        <c:axPos val="l"/>
        <c:majorGridlines>
          <c:spPr>
            <a:ln>
              <a:solidFill>
                <a:schemeClr val="tx1">
                  <a:lumMod val="15%"/>
                  <a:lumOff val="85%"/>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07969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3">
  <a:schemeClr val="accent6"/>
  <a:schemeClr val="accent5"/>
  <a:schemeClr val="accent4"/>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3">
  <a:schemeClr val="accent6"/>
  <a:schemeClr val="accent5"/>
  <a:schemeClr val="accent4"/>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3">
  <a:schemeClr val="accent6"/>
  <a:schemeClr val="accent5"/>
  <a:schemeClr val="accent4"/>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3">
  <a:schemeClr val="accent6"/>
  <a:schemeClr val="accent5"/>
  <a:schemeClr val="accent4"/>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3">
  <a:schemeClr val="accent6"/>
  <a:schemeClr val="accent5"/>
  <a:schemeClr val="accent4"/>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17">
  <cs:axisTitle>
    <cs:lnRef idx="0"/>
    <cs:fillRef idx="0"/>
    <cs:effectRef idx="0"/>
    <cs:fontRef idx="minor">
      <a:schemeClr val="tx1">
        <a:lumMod val="65%"/>
        <a:lumOff val="35%"/>
      </a:schemeClr>
    </cs:fontRef>
    <cs:defRPr sz="900" b="1" kern="1200"/>
  </cs:axisTitle>
  <cs:categoryAxis>
    <cs:lnRef idx="0"/>
    <cs:fillRef idx="0"/>
    <cs:effectRef idx="0"/>
    <cs:fontRef idx="minor">
      <a:schemeClr val="tx1">
        <a:lumMod val="65%"/>
        <a:lumOff val="35%"/>
      </a:schemeClr>
    </cs:fontRef>
    <cs:spPr>
      <a:ln w="19050" cap="flat" cmpd="sng" algn="ctr">
        <a:solidFill>
          <a:schemeClr val="tx1">
            <a:lumMod val="25%"/>
            <a:lumOff val="75%"/>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
            <a:lumOff val="8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
            <a:lumOff val="8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kern="1200"/>
  </cs:dataTable>
  <cs:downBar>
    <cs:lnRef idx="0"/>
    <cs:fillRef idx="0"/>
    <cs:effectRef idx="0"/>
    <cs:fontRef idx="minor">
      <a:schemeClr val="dk1"/>
    </cs:fontRef>
    <cs:spPr>
      <a:solidFill>
        <a:schemeClr val="dk1">
          <a:lumMod val="75%"/>
          <a:lumOff val="25%"/>
        </a:schemeClr>
      </a:solidFill>
      <a:ln w="9525">
        <a:solidFill>
          <a:schemeClr val="tx1">
            <a:lumMod val="50%"/>
            <a:lumOff val="50%"/>
          </a:schemeClr>
        </a:solidFill>
      </a:ln>
    </cs:spPr>
  </cs:downBar>
  <cs:dropLine>
    <cs:lnRef idx="0"/>
    <cs:fillRef idx="0"/>
    <cs:effectRef idx="0"/>
    <cs:fontRef idx="minor">
      <a:schemeClr val="dk1"/>
    </cs:fontRef>
    <cs:spPr>
      <a:ln w="9525">
        <a:solidFill>
          <a:schemeClr val="tx1">
            <a:lumMod val="35%"/>
            <a:lumOff val="65%"/>
          </a:schemeClr>
        </a:solidFill>
        <a:round/>
      </a:ln>
    </cs:spPr>
  </cs:dropLine>
  <cs:errorBar>
    <cs:lnRef idx="0"/>
    <cs:fillRef idx="0"/>
    <cs:effectRef idx="0"/>
    <cs:fontRef idx="minor">
      <a:schemeClr val="dk1"/>
    </cs:fontRef>
    <cs:spPr>
      <a:ln w="9525">
        <a:solidFill>
          <a:schemeClr val="tx1">
            <a:lumMod val="50%"/>
            <a:lumOff val="5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
            <a:lumOff val="85%"/>
          </a:schemeClr>
        </a:solidFill>
      </a:ln>
    </cs:spPr>
  </cs:gridlineMajor>
  <cs:gridlineMinor>
    <cs:lnRef idx="0"/>
    <cs:fillRef idx="0"/>
    <cs:effectRef idx="0"/>
    <cs:fontRef idx="minor">
      <a:schemeClr val="dk1"/>
    </cs:fontRef>
    <cs:spPr>
      <a:ln>
        <a:solidFill>
          <a:schemeClr val="tx1">
            <a:lumMod val="5%"/>
            <a:lumOff val="95%"/>
          </a:schemeClr>
        </a:solidFill>
      </a:ln>
    </cs:spPr>
  </cs:gridlineMinor>
  <cs:hiLoLine>
    <cs:lnRef idx="0"/>
    <cs:fillRef idx="0"/>
    <cs:effectRef idx="0"/>
    <cs:fontRef idx="minor">
      <a:schemeClr val="dk1"/>
    </cs:fontRef>
    <cs:spPr>
      <a:ln w="9525">
        <a:solidFill>
          <a:schemeClr val="tx1">
            <a:lumMod val="35%"/>
            <a:lumOff val="65%"/>
          </a:schemeClr>
        </a:solidFill>
        <a:round/>
      </a:ln>
    </cs:spPr>
  </cs:hiLoLine>
  <cs:leaderLine>
    <cs:lnRef idx="0"/>
    <cs:fillRef idx="0"/>
    <cs:effectRef idx="0"/>
    <cs:fontRef idx="minor">
      <a:schemeClr val="dk1"/>
    </cs:fontRef>
    <cs:spPr>
      <a:ln w="9525">
        <a:solidFill>
          <a:schemeClr val="tx1">
            <a:lumMod val="35%"/>
            <a:lumOff val="65%"/>
          </a:schemeClr>
        </a:solidFill>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dk1"/>
    </cs:fontRef>
    <cs:spPr>
      <a:ln w="9525">
        <a:solidFill>
          <a:schemeClr val="tx1">
            <a:lumMod val="35%"/>
            <a:lumOff val="65%"/>
          </a:schemeClr>
        </a:solidFill>
        <a:round/>
      </a:ln>
    </cs:spPr>
  </cs:seriesLine>
  <cs:title>
    <cs:lnRef idx="0"/>
    <cs:fillRef idx="0"/>
    <cs:effectRef idx="0"/>
    <cs:fontRef idx="minor">
      <a:schemeClr val="tx1">
        <a:lumMod val="50%"/>
        <a:lumOff val="5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50%"/>
            <a:lumOff val="50%"/>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purl.oclc.org/ooxml/drawingml/main" id="217">
  <cs:axisTitle>
    <cs:lnRef idx="0"/>
    <cs:fillRef idx="0"/>
    <cs:effectRef idx="0"/>
    <cs:fontRef idx="minor">
      <a:schemeClr val="tx1">
        <a:lumMod val="65%"/>
        <a:lumOff val="35%"/>
      </a:schemeClr>
    </cs:fontRef>
    <cs:defRPr sz="900" b="1" kern="1200"/>
  </cs:axisTitle>
  <cs:categoryAxis>
    <cs:lnRef idx="0"/>
    <cs:fillRef idx="0"/>
    <cs:effectRef idx="0"/>
    <cs:fontRef idx="minor">
      <a:schemeClr val="tx1">
        <a:lumMod val="65%"/>
        <a:lumOff val="35%"/>
      </a:schemeClr>
    </cs:fontRef>
    <cs:spPr>
      <a:ln w="19050" cap="flat" cmpd="sng" algn="ctr">
        <a:solidFill>
          <a:schemeClr val="tx1">
            <a:lumMod val="25%"/>
            <a:lumOff val="75%"/>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
            <a:lumOff val="8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
            <a:lumOff val="8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kern="1200"/>
  </cs:dataTable>
  <cs:downBar>
    <cs:lnRef idx="0"/>
    <cs:fillRef idx="0"/>
    <cs:effectRef idx="0"/>
    <cs:fontRef idx="minor">
      <a:schemeClr val="dk1"/>
    </cs:fontRef>
    <cs:spPr>
      <a:solidFill>
        <a:schemeClr val="dk1">
          <a:lumMod val="75%"/>
          <a:lumOff val="25%"/>
        </a:schemeClr>
      </a:solidFill>
      <a:ln w="9525">
        <a:solidFill>
          <a:schemeClr val="tx1">
            <a:lumMod val="50%"/>
            <a:lumOff val="50%"/>
          </a:schemeClr>
        </a:solidFill>
      </a:ln>
    </cs:spPr>
  </cs:downBar>
  <cs:dropLine>
    <cs:lnRef idx="0"/>
    <cs:fillRef idx="0"/>
    <cs:effectRef idx="0"/>
    <cs:fontRef idx="minor">
      <a:schemeClr val="dk1"/>
    </cs:fontRef>
    <cs:spPr>
      <a:ln w="9525">
        <a:solidFill>
          <a:schemeClr val="tx1">
            <a:lumMod val="35%"/>
            <a:lumOff val="65%"/>
          </a:schemeClr>
        </a:solidFill>
        <a:round/>
      </a:ln>
    </cs:spPr>
  </cs:dropLine>
  <cs:errorBar>
    <cs:lnRef idx="0"/>
    <cs:fillRef idx="0"/>
    <cs:effectRef idx="0"/>
    <cs:fontRef idx="minor">
      <a:schemeClr val="dk1"/>
    </cs:fontRef>
    <cs:spPr>
      <a:ln w="9525">
        <a:solidFill>
          <a:schemeClr val="tx1">
            <a:lumMod val="50%"/>
            <a:lumOff val="5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
            <a:lumOff val="85%"/>
          </a:schemeClr>
        </a:solidFill>
      </a:ln>
    </cs:spPr>
  </cs:gridlineMajor>
  <cs:gridlineMinor>
    <cs:lnRef idx="0"/>
    <cs:fillRef idx="0"/>
    <cs:effectRef idx="0"/>
    <cs:fontRef idx="minor">
      <a:schemeClr val="dk1"/>
    </cs:fontRef>
    <cs:spPr>
      <a:ln>
        <a:solidFill>
          <a:schemeClr val="tx1">
            <a:lumMod val="5%"/>
            <a:lumOff val="95%"/>
          </a:schemeClr>
        </a:solidFill>
      </a:ln>
    </cs:spPr>
  </cs:gridlineMinor>
  <cs:hiLoLine>
    <cs:lnRef idx="0"/>
    <cs:fillRef idx="0"/>
    <cs:effectRef idx="0"/>
    <cs:fontRef idx="minor">
      <a:schemeClr val="dk1"/>
    </cs:fontRef>
    <cs:spPr>
      <a:ln w="9525">
        <a:solidFill>
          <a:schemeClr val="tx1">
            <a:lumMod val="35%"/>
            <a:lumOff val="65%"/>
          </a:schemeClr>
        </a:solidFill>
        <a:round/>
      </a:ln>
    </cs:spPr>
  </cs:hiLoLine>
  <cs:leaderLine>
    <cs:lnRef idx="0"/>
    <cs:fillRef idx="0"/>
    <cs:effectRef idx="0"/>
    <cs:fontRef idx="minor">
      <a:schemeClr val="dk1"/>
    </cs:fontRef>
    <cs:spPr>
      <a:ln w="9525">
        <a:solidFill>
          <a:schemeClr val="tx1">
            <a:lumMod val="35%"/>
            <a:lumOff val="65%"/>
          </a:schemeClr>
        </a:solidFill>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dk1"/>
    </cs:fontRef>
    <cs:spPr>
      <a:ln w="9525">
        <a:solidFill>
          <a:schemeClr val="tx1">
            <a:lumMod val="35%"/>
            <a:lumOff val="65%"/>
          </a:schemeClr>
        </a:solidFill>
        <a:round/>
      </a:ln>
    </cs:spPr>
  </cs:seriesLine>
  <cs:title>
    <cs:lnRef idx="0"/>
    <cs:fillRef idx="0"/>
    <cs:effectRef idx="0"/>
    <cs:fontRef idx="minor">
      <a:schemeClr val="tx1">
        <a:lumMod val="50%"/>
        <a:lumOff val="5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50%"/>
            <a:lumOff val="50%"/>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purl.oclc.org/ooxml/drawingml/main" id="299">
  <cs:axisTitle>
    <cs:lnRef idx="0"/>
    <cs:fillRef idx="0"/>
    <cs:effectRef idx="0"/>
    <cs:fontRef idx="minor">
      <a:schemeClr val="tx1">
        <a:lumMod val="65%"/>
        <a:lumOff val="35%"/>
      </a:schemeClr>
    </cs:fontRef>
    <cs:defRPr sz="900" b="1" kern="1200"/>
  </cs:axisTitle>
  <cs:categoryAxis>
    <cs:lnRef idx="0"/>
    <cs:fillRef idx="0"/>
    <cs:effectRef idx="0"/>
    <cs:fontRef idx="minor">
      <a:schemeClr val="tx1">
        <a:lumMod val="65%"/>
        <a:lumOff val="35%"/>
      </a:schemeClr>
    </cs:fontRef>
    <cs:spPr>
      <a:ln w="19050" cap="flat" cmpd="sng" algn="ctr">
        <a:solidFill>
          <a:schemeClr val="tx1">
            <a:lumMod val="25%"/>
            <a:lumOff val="75%"/>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
            <a:lumOff val="8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
            <a:lumOff val="8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kern="1200"/>
  </cs:dataTable>
  <cs:downBar>
    <cs:lnRef idx="0"/>
    <cs:fillRef idx="0"/>
    <cs:effectRef idx="0"/>
    <cs:fontRef idx="minor">
      <a:schemeClr val="dk1"/>
    </cs:fontRef>
    <cs:spPr>
      <a:solidFill>
        <a:schemeClr val="dk1">
          <a:lumMod val="75%"/>
          <a:lumOff val="25%"/>
        </a:schemeClr>
      </a:solidFill>
      <a:ln w="9525">
        <a:solidFill>
          <a:schemeClr val="tx1">
            <a:lumMod val="50%"/>
            <a:lumOff val="50%"/>
          </a:schemeClr>
        </a:solidFill>
      </a:ln>
    </cs:spPr>
  </cs:downBar>
  <cs:dropLine>
    <cs:lnRef idx="0"/>
    <cs:fillRef idx="0"/>
    <cs:effectRef idx="0"/>
    <cs:fontRef idx="minor">
      <a:schemeClr val="dk1"/>
    </cs:fontRef>
    <cs:spPr>
      <a:ln w="9525">
        <a:solidFill>
          <a:schemeClr val="tx1">
            <a:lumMod val="35%"/>
            <a:lumOff val="65%"/>
          </a:schemeClr>
        </a:solidFill>
        <a:round/>
      </a:ln>
    </cs:spPr>
  </cs:dropLine>
  <cs:errorBar>
    <cs:lnRef idx="0"/>
    <cs:fillRef idx="0"/>
    <cs:effectRef idx="0"/>
    <cs:fontRef idx="minor">
      <a:schemeClr val="dk1"/>
    </cs:fontRef>
    <cs:spPr>
      <a:ln w="9525">
        <a:solidFill>
          <a:schemeClr val="tx1">
            <a:lumMod val="50%"/>
            <a:lumOff val="50%"/>
          </a:schemeClr>
        </a:solidFill>
        <a:round/>
      </a:ln>
    </cs:spPr>
  </cs:errorBar>
  <cs:floor>
    <cs:lnRef idx="0"/>
    <cs:fillRef idx="0"/>
    <cs:effectRef idx="0"/>
    <cs:fontRef idx="minor">
      <a:schemeClr val="dk1"/>
    </cs:fontRef>
    <cs:spPr>
      <a:ln w="19050" cap="flat" cmpd="sng" algn="ctr">
        <a:solidFill>
          <a:schemeClr val="tx1">
            <a:lumMod val="25%"/>
            <a:lumOff val="75%"/>
          </a:schemeClr>
        </a:solidFill>
        <a:round/>
      </a:ln>
    </cs:spPr>
  </cs:floor>
  <cs:gridlineMajor>
    <cs:lnRef idx="0"/>
    <cs:fillRef idx="0"/>
    <cs:effectRef idx="0"/>
    <cs:fontRef idx="minor">
      <a:schemeClr val="dk1"/>
    </cs:fontRef>
    <cs:spPr>
      <a:ln>
        <a:solidFill>
          <a:schemeClr val="tx1">
            <a:lumMod val="15%"/>
            <a:lumOff val="85%"/>
          </a:schemeClr>
        </a:solidFill>
      </a:ln>
    </cs:spPr>
  </cs:gridlineMajor>
  <cs:gridlineMinor>
    <cs:lnRef idx="0"/>
    <cs:fillRef idx="0"/>
    <cs:effectRef idx="0"/>
    <cs:fontRef idx="minor">
      <a:schemeClr val="dk1"/>
    </cs:fontRef>
    <cs:spPr>
      <a:ln>
        <a:solidFill>
          <a:schemeClr val="tx1">
            <a:lumMod val="5%"/>
            <a:lumOff val="95%"/>
          </a:schemeClr>
        </a:solidFill>
      </a:ln>
    </cs:spPr>
  </cs:gridlineMinor>
  <cs:hiLoLine>
    <cs:lnRef idx="0"/>
    <cs:fillRef idx="0"/>
    <cs:effectRef idx="0"/>
    <cs:fontRef idx="minor">
      <a:schemeClr val="dk1"/>
    </cs:fontRef>
    <cs:spPr>
      <a:ln w="9525">
        <a:solidFill>
          <a:schemeClr val="tx1">
            <a:lumMod val="35%"/>
            <a:lumOff val="65%"/>
          </a:schemeClr>
        </a:solidFill>
        <a:round/>
      </a:ln>
    </cs:spPr>
  </cs:hiLoLine>
  <cs:leaderLine>
    <cs:lnRef idx="0"/>
    <cs:fillRef idx="0"/>
    <cs:effectRef idx="0"/>
    <cs:fontRef idx="minor">
      <a:schemeClr val="dk1"/>
    </cs:fontRef>
    <cs:spPr>
      <a:ln w="9525">
        <a:solidFill>
          <a:schemeClr val="tx1">
            <a:lumMod val="35%"/>
            <a:lumOff val="65%"/>
          </a:schemeClr>
        </a:solidFill>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dk1"/>
    </cs:fontRef>
    <cs:spPr>
      <a:ln w="9525">
        <a:solidFill>
          <a:schemeClr val="tx1">
            <a:lumMod val="35%"/>
            <a:lumOff val="65%"/>
          </a:schemeClr>
        </a:solidFill>
        <a:round/>
      </a:ln>
    </cs:spPr>
  </cs:seriesLine>
  <cs:title>
    <cs:lnRef idx="0"/>
    <cs:fillRef idx="0"/>
    <cs:effectRef idx="0"/>
    <cs:fontRef idx="minor">
      <a:schemeClr val="tx1">
        <a:lumMod val="50%"/>
        <a:lumOff val="5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50%"/>
            <a:lumOff val="50%"/>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purl.oclc.org/ooxml/drawingml/main" id="299">
  <cs:axisTitle>
    <cs:lnRef idx="0"/>
    <cs:fillRef idx="0"/>
    <cs:effectRef idx="0"/>
    <cs:fontRef idx="minor">
      <a:schemeClr val="tx1">
        <a:lumMod val="65%"/>
        <a:lumOff val="35%"/>
      </a:schemeClr>
    </cs:fontRef>
    <cs:defRPr sz="900" b="1" kern="1200"/>
  </cs:axisTitle>
  <cs:categoryAxis>
    <cs:lnRef idx="0"/>
    <cs:fillRef idx="0"/>
    <cs:effectRef idx="0"/>
    <cs:fontRef idx="minor">
      <a:schemeClr val="tx1">
        <a:lumMod val="65%"/>
        <a:lumOff val="35%"/>
      </a:schemeClr>
    </cs:fontRef>
    <cs:spPr>
      <a:ln w="19050" cap="flat" cmpd="sng" algn="ctr">
        <a:solidFill>
          <a:schemeClr val="tx1">
            <a:lumMod val="25%"/>
            <a:lumOff val="75%"/>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
            <a:lumOff val="8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
            <a:lumOff val="8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kern="1200"/>
  </cs:dataTable>
  <cs:downBar>
    <cs:lnRef idx="0"/>
    <cs:fillRef idx="0"/>
    <cs:effectRef idx="0"/>
    <cs:fontRef idx="minor">
      <a:schemeClr val="dk1"/>
    </cs:fontRef>
    <cs:spPr>
      <a:solidFill>
        <a:schemeClr val="dk1">
          <a:lumMod val="75%"/>
          <a:lumOff val="25%"/>
        </a:schemeClr>
      </a:solidFill>
      <a:ln w="9525">
        <a:solidFill>
          <a:schemeClr val="tx1">
            <a:lumMod val="50%"/>
            <a:lumOff val="50%"/>
          </a:schemeClr>
        </a:solidFill>
      </a:ln>
    </cs:spPr>
  </cs:downBar>
  <cs:dropLine>
    <cs:lnRef idx="0"/>
    <cs:fillRef idx="0"/>
    <cs:effectRef idx="0"/>
    <cs:fontRef idx="minor">
      <a:schemeClr val="dk1"/>
    </cs:fontRef>
    <cs:spPr>
      <a:ln w="9525">
        <a:solidFill>
          <a:schemeClr val="tx1">
            <a:lumMod val="35%"/>
            <a:lumOff val="65%"/>
          </a:schemeClr>
        </a:solidFill>
        <a:round/>
      </a:ln>
    </cs:spPr>
  </cs:dropLine>
  <cs:errorBar>
    <cs:lnRef idx="0"/>
    <cs:fillRef idx="0"/>
    <cs:effectRef idx="0"/>
    <cs:fontRef idx="minor">
      <a:schemeClr val="dk1"/>
    </cs:fontRef>
    <cs:spPr>
      <a:ln w="9525">
        <a:solidFill>
          <a:schemeClr val="tx1">
            <a:lumMod val="50%"/>
            <a:lumOff val="50%"/>
          </a:schemeClr>
        </a:solidFill>
        <a:round/>
      </a:ln>
    </cs:spPr>
  </cs:errorBar>
  <cs:floor>
    <cs:lnRef idx="0"/>
    <cs:fillRef idx="0"/>
    <cs:effectRef idx="0"/>
    <cs:fontRef idx="minor">
      <a:schemeClr val="dk1"/>
    </cs:fontRef>
    <cs:spPr>
      <a:ln w="19050" cap="flat" cmpd="sng" algn="ctr">
        <a:solidFill>
          <a:schemeClr val="tx1">
            <a:lumMod val="25%"/>
            <a:lumOff val="75%"/>
          </a:schemeClr>
        </a:solidFill>
        <a:round/>
      </a:ln>
    </cs:spPr>
  </cs:floor>
  <cs:gridlineMajor>
    <cs:lnRef idx="0"/>
    <cs:fillRef idx="0"/>
    <cs:effectRef idx="0"/>
    <cs:fontRef idx="minor">
      <a:schemeClr val="dk1"/>
    </cs:fontRef>
    <cs:spPr>
      <a:ln>
        <a:solidFill>
          <a:schemeClr val="tx1">
            <a:lumMod val="15%"/>
            <a:lumOff val="85%"/>
          </a:schemeClr>
        </a:solidFill>
      </a:ln>
    </cs:spPr>
  </cs:gridlineMajor>
  <cs:gridlineMinor>
    <cs:lnRef idx="0"/>
    <cs:fillRef idx="0"/>
    <cs:effectRef idx="0"/>
    <cs:fontRef idx="minor">
      <a:schemeClr val="dk1"/>
    </cs:fontRef>
    <cs:spPr>
      <a:ln>
        <a:solidFill>
          <a:schemeClr val="tx1">
            <a:lumMod val="5%"/>
            <a:lumOff val="95%"/>
          </a:schemeClr>
        </a:solidFill>
      </a:ln>
    </cs:spPr>
  </cs:gridlineMinor>
  <cs:hiLoLine>
    <cs:lnRef idx="0"/>
    <cs:fillRef idx="0"/>
    <cs:effectRef idx="0"/>
    <cs:fontRef idx="minor">
      <a:schemeClr val="dk1"/>
    </cs:fontRef>
    <cs:spPr>
      <a:ln w="9525">
        <a:solidFill>
          <a:schemeClr val="tx1">
            <a:lumMod val="35%"/>
            <a:lumOff val="65%"/>
          </a:schemeClr>
        </a:solidFill>
        <a:round/>
      </a:ln>
    </cs:spPr>
  </cs:hiLoLine>
  <cs:leaderLine>
    <cs:lnRef idx="0"/>
    <cs:fillRef idx="0"/>
    <cs:effectRef idx="0"/>
    <cs:fontRef idx="minor">
      <a:schemeClr val="dk1"/>
    </cs:fontRef>
    <cs:spPr>
      <a:ln w="9525">
        <a:solidFill>
          <a:schemeClr val="tx1">
            <a:lumMod val="35%"/>
            <a:lumOff val="65%"/>
          </a:schemeClr>
        </a:solidFill>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dk1"/>
    </cs:fontRef>
    <cs:spPr>
      <a:ln w="9525">
        <a:solidFill>
          <a:schemeClr val="tx1">
            <a:lumMod val="35%"/>
            <a:lumOff val="65%"/>
          </a:schemeClr>
        </a:solidFill>
        <a:round/>
      </a:ln>
    </cs:spPr>
  </cs:seriesLine>
  <cs:title>
    <cs:lnRef idx="0"/>
    <cs:fillRef idx="0"/>
    <cs:effectRef idx="0"/>
    <cs:fontRef idx="minor">
      <a:schemeClr val="tx1">
        <a:lumMod val="50%"/>
        <a:lumOff val="5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50%"/>
            <a:lumOff val="50%"/>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purl.oclc.org/ooxml/drawingml/main" id="299">
  <cs:axisTitle>
    <cs:lnRef idx="0"/>
    <cs:fillRef idx="0"/>
    <cs:effectRef idx="0"/>
    <cs:fontRef idx="minor">
      <a:schemeClr val="tx1">
        <a:lumMod val="65%"/>
        <a:lumOff val="35%"/>
      </a:schemeClr>
    </cs:fontRef>
    <cs:defRPr sz="900" b="1" kern="1200"/>
  </cs:axisTitle>
  <cs:categoryAxis>
    <cs:lnRef idx="0"/>
    <cs:fillRef idx="0"/>
    <cs:effectRef idx="0"/>
    <cs:fontRef idx="minor">
      <a:schemeClr val="tx1">
        <a:lumMod val="65%"/>
        <a:lumOff val="35%"/>
      </a:schemeClr>
    </cs:fontRef>
    <cs:spPr>
      <a:ln w="19050" cap="flat" cmpd="sng" algn="ctr">
        <a:solidFill>
          <a:schemeClr val="tx1">
            <a:lumMod val="25%"/>
            <a:lumOff val="75%"/>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
            <a:lumOff val="8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
            <a:lumOff val="8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kern="1200"/>
  </cs:dataTable>
  <cs:downBar>
    <cs:lnRef idx="0"/>
    <cs:fillRef idx="0"/>
    <cs:effectRef idx="0"/>
    <cs:fontRef idx="minor">
      <a:schemeClr val="dk1"/>
    </cs:fontRef>
    <cs:spPr>
      <a:solidFill>
        <a:schemeClr val="dk1">
          <a:lumMod val="75%"/>
          <a:lumOff val="25%"/>
        </a:schemeClr>
      </a:solidFill>
      <a:ln w="9525">
        <a:solidFill>
          <a:schemeClr val="tx1">
            <a:lumMod val="50%"/>
            <a:lumOff val="50%"/>
          </a:schemeClr>
        </a:solidFill>
      </a:ln>
    </cs:spPr>
  </cs:downBar>
  <cs:dropLine>
    <cs:lnRef idx="0"/>
    <cs:fillRef idx="0"/>
    <cs:effectRef idx="0"/>
    <cs:fontRef idx="minor">
      <a:schemeClr val="dk1"/>
    </cs:fontRef>
    <cs:spPr>
      <a:ln w="9525">
        <a:solidFill>
          <a:schemeClr val="tx1">
            <a:lumMod val="35%"/>
            <a:lumOff val="65%"/>
          </a:schemeClr>
        </a:solidFill>
        <a:round/>
      </a:ln>
    </cs:spPr>
  </cs:dropLine>
  <cs:errorBar>
    <cs:lnRef idx="0"/>
    <cs:fillRef idx="0"/>
    <cs:effectRef idx="0"/>
    <cs:fontRef idx="minor">
      <a:schemeClr val="dk1"/>
    </cs:fontRef>
    <cs:spPr>
      <a:ln w="9525">
        <a:solidFill>
          <a:schemeClr val="tx1">
            <a:lumMod val="50%"/>
            <a:lumOff val="50%"/>
          </a:schemeClr>
        </a:solidFill>
        <a:round/>
      </a:ln>
    </cs:spPr>
  </cs:errorBar>
  <cs:floor>
    <cs:lnRef idx="0"/>
    <cs:fillRef idx="0"/>
    <cs:effectRef idx="0"/>
    <cs:fontRef idx="minor">
      <a:schemeClr val="dk1"/>
    </cs:fontRef>
    <cs:spPr>
      <a:ln w="19050" cap="flat" cmpd="sng" algn="ctr">
        <a:solidFill>
          <a:schemeClr val="tx1">
            <a:lumMod val="25%"/>
            <a:lumOff val="75%"/>
          </a:schemeClr>
        </a:solidFill>
        <a:round/>
      </a:ln>
    </cs:spPr>
  </cs:floor>
  <cs:gridlineMajor>
    <cs:lnRef idx="0"/>
    <cs:fillRef idx="0"/>
    <cs:effectRef idx="0"/>
    <cs:fontRef idx="minor">
      <a:schemeClr val="dk1"/>
    </cs:fontRef>
    <cs:spPr>
      <a:ln>
        <a:solidFill>
          <a:schemeClr val="tx1">
            <a:lumMod val="15%"/>
            <a:lumOff val="85%"/>
          </a:schemeClr>
        </a:solidFill>
      </a:ln>
    </cs:spPr>
  </cs:gridlineMajor>
  <cs:gridlineMinor>
    <cs:lnRef idx="0"/>
    <cs:fillRef idx="0"/>
    <cs:effectRef idx="0"/>
    <cs:fontRef idx="minor">
      <a:schemeClr val="dk1"/>
    </cs:fontRef>
    <cs:spPr>
      <a:ln>
        <a:solidFill>
          <a:schemeClr val="tx1">
            <a:lumMod val="5%"/>
            <a:lumOff val="95%"/>
          </a:schemeClr>
        </a:solidFill>
      </a:ln>
    </cs:spPr>
  </cs:gridlineMinor>
  <cs:hiLoLine>
    <cs:lnRef idx="0"/>
    <cs:fillRef idx="0"/>
    <cs:effectRef idx="0"/>
    <cs:fontRef idx="minor">
      <a:schemeClr val="dk1"/>
    </cs:fontRef>
    <cs:spPr>
      <a:ln w="9525">
        <a:solidFill>
          <a:schemeClr val="tx1">
            <a:lumMod val="35%"/>
            <a:lumOff val="65%"/>
          </a:schemeClr>
        </a:solidFill>
        <a:round/>
      </a:ln>
    </cs:spPr>
  </cs:hiLoLine>
  <cs:leaderLine>
    <cs:lnRef idx="0"/>
    <cs:fillRef idx="0"/>
    <cs:effectRef idx="0"/>
    <cs:fontRef idx="minor">
      <a:schemeClr val="dk1"/>
    </cs:fontRef>
    <cs:spPr>
      <a:ln w="9525">
        <a:solidFill>
          <a:schemeClr val="tx1">
            <a:lumMod val="35%"/>
            <a:lumOff val="65%"/>
          </a:schemeClr>
        </a:solidFill>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dk1"/>
    </cs:fontRef>
    <cs:spPr>
      <a:ln w="9525">
        <a:solidFill>
          <a:schemeClr val="tx1">
            <a:lumMod val="35%"/>
            <a:lumOff val="65%"/>
          </a:schemeClr>
        </a:solidFill>
        <a:round/>
      </a:ln>
    </cs:spPr>
  </cs:seriesLine>
  <cs:title>
    <cs:lnRef idx="0"/>
    <cs:fillRef idx="0"/>
    <cs:effectRef idx="0"/>
    <cs:fontRef idx="minor">
      <a:schemeClr val="tx1">
        <a:lumMod val="50%"/>
        <a:lumOff val="5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50%"/>
            <a:lumOff val="50%"/>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purl.oclc.org/ooxml/officeDocument/relationships/chart" Target="../charts/chart3.xml"/><Relationship Id="rId2" Type="http://purl.oclc.org/ooxml/officeDocument/relationships/chart" Target="../charts/chart2.xml"/><Relationship Id="rId1" Type="http://purl.oclc.org/ooxml/officeDocument/relationships/chart" Target="../charts/chart1.xml"/><Relationship Id="rId5" Type="http://purl.oclc.org/ooxml/officeDocument/relationships/chart" Target="../charts/chart5.xml"/><Relationship Id="rId4" Type="http://purl.oclc.org/ooxml/officeDocument/relationships/chart" Target="../charts/chart4.xml"/></Relationships>
</file>

<file path=xl/drawings/drawing1.xml><?xml version="1.0" encoding="utf-8"?>
<xdr:wsDr xmlns:xdr="http://purl.oclc.org/ooxml/drawingml/spreadsheetDrawing" xmlns:a="http://purl.oclc.org/ooxml/drawingml/main">
  <xdr:twoCellAnchor editAs="oneCell">
    <xdr:from>
      <xdr:col>19</xdr:col>
      <xdr:colOff>191770</xdr:colOff>
      <xdr:row>1</xdr:row>
      <xdr:rowOff>43497</xdr:rowOff>
    </xdr:from>
    <xdr:to>
      <xdr:col>29</xdr:col>
      <xdr:colOff>28257</xdr:colOff>
      <xdr:row>14</xdr:row>
      <xdr:rowOff>89535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B3E82A5D-E18E-9414-D895-3E524972BA8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097395" y="226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203517</xdr:colOff>
      <xdr:row>1</xdr:row>
      <xdr:rowOff>7620</xdr:rowOff>
    </xdr:from>
    <xdr:to>
      <xdr:col>39</xdr:col>
      <xdr:colOff>40005</xdr:colOff>
      <xdr:row>14</xdr:row>
      <xdr:rowOff>53658</xdr:rowOff>
    </xdr:to>
    <mc:AlternateContent xmlns:mc="http://schemas.openxmlformats.org/markup-compatibility/2006">
      <mc:Choice xmlns:a14="http://schemas.microsoft.com/office/drawing/2010/main" Requires="a14">
        <xdr:graphicFrame macro="">
          <xdr:nvGraphicFramePr>
            <xdr:cNvPr id="8" name="Agent">
              <a:extLst>
                <a:ext uri="{FF2B5EF4-FFF2-40B4-BE49-F238E27FC236}">
                  <a16:creationId xmlns:a16="http://schemas.microsoft.com/office/drawing/2014/main" id="{F9D21C10-AB89-9E00-58BB-7BE744C473EE}"/>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dr:sp macro="" textlink="">
          <xdr:nvSpPr>
            <xdr:cNvPr id="0" name=""/>
            <xdr:cNvSpPr>
              <a:spLocks noTextEdit="1"/>
            </xdr:cNvSpPr>
          </xdr:nvSpPr>
          <xdr:spPr>
            <a:xfrm>
              <a:off x="9101455" y="19018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102870</xdr:colOff>
      <xdr:row>15</xdr:row>
      <xdr:rowOff>19366</xdr:rowOff>
    </xdr:from>
    <xdr:to>
      <xdr:col>39</xdr:col>
      <xdr:colOff>145733</xdr:colOff>
      <xdr:row>28</xdr:row>
      <xdr:rowOff>65404</xdr:rowOff>
    </xdr:to>
    <mc:AlternateContent xmlns:mc="http://schemas.openxmlformats.org/markup-compatibility/2006">
      <mc:Choice xmlns:a14="http://schemas.microsoft.com/office/drawing/2010/main" Requires="a14">
        <xdr:graphicFrame macro="">
          <xdr:nvGraphicFramePr>
            <xdr:cNvPr id="9" name="Priority">
              <a:extLst>
                <a:ext uri="{FF2B5EF4-FFF2-40B4-BE49-F238E27FC236}">
                  <a16:creationId xmlns:a16="http://schemas.microsoft.com/office/drawing/2014/main" id="{92075398-2C29-1AB8-02FE-76A9CE26B00A}"/>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9207183" y="280542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147637</xdr:colOff>
      <xdr:row>15</xdr:row>
      <xdr:rowOff>15239</xdr:rowOff>
    </xdr:from>
    <xdr:to>
      <xdr:col>28</xdr:col>
      <xdr:colOff>190499</xdr:colOff>
      <xdr:row>28</xdr:row>
      <xdr:rowOff>61277</xdr:rowOff>
    </xdr:to>
    <mc:AlternateContent xmlns:mc="http://schemas.openxmlformats.org/markup-compatibility/2006">
      <mc:Choice xmlns:a14="http://schemas.microsoft.com/office/drawing/2010/main" Requires="a14">
        <xdr:graphicFrame macro="">
          <xdr:nvGraphicFramePr>
            <xdr:cNvPr id="10" name="Status">
              <a:extLst>
                <a:ext uri="{FF2B5EF4-FFF2-40B4-BE49-F238E27FC236}">
                  <a16:creationId xmlns:a16="http://schemas.microsoft.com/office/drawing/2014/main" id="{A0121A8F-B28E-98EB-2368-20F0E5504B4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7053262" y="280130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purl.oclc.org/ooxml/drawingml/spreadsheetDrawing" xmlns:a="http://purl.oclc.org/ooxml/drawingml/main">
  <xdr:twoCellAnchor>
    <xdr:from>
      <xdr:col>0</xdr:col>
      <xdr:colOff>138314</xdr:colOff>
      <xdr:row>13</xdr:row>
      <xdr:rowOff>42026</xdr:rowOff>
    </xdr:from>
    <xdr:to>
      <xdr:col>4</xdr:col>
      <xdr:colOff>136403</xdr:colOff>
      <xdr:row>25</xdr:row>
      <xdr:rowOff>127751</xdr:rowOff>
    </xdr:to>
    <xdr:graphicFrame macro="">
      <xdr:nvGraphicFramePr>
        <xdr:cNvPr id="2" name="Chart 1">
          <a:extLst>
            <a:ext uri="{FF2B5EF4-FFF2-40B4-BE49-F238E27FC236}">
              <a16:creationId xmlns:a16="http://schemas.microsoft.com/office/drawing/2014/main" id="{B2742CB3-F738-49F5-8331-FB5F2FC8DAA2}"/>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5</xdr:col>
      <xdr:colOff>885306</xdr:colOff>
      <xdr:row>12</xdr:row>
      <xdr:rowOff>183573</xdr:rowOff>
    </xdr:from>
    <xdr:to>
      <xdr:col>10</xdr:col>
      <xdr:colOff>201528</xdr:colOff>
      <xdr:row>25</xdr:row>
      <xdr:rowOff>99753</xdr:rowOff>
    </xdr:to>
    <xdr:graphicFrame macro="">
      <xdr:nvGraphicFramePr>
        <xdr:cNvPr id="3" name="Chart 2">
          <a:extLst>
            <a:ext uri="{FF2B5EF4-FFF2-40B4-BE49-F238E27FC236}">
              <a16:creationId xmlns:a16="http://schemas.microsoft.com/office/drawing/2014/main" id="{9CC98B86-EFA4-468C-8799-E9CBECA4D4E5}"/>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0</xdr:col>
      <xdr:colOff>0</xdr:colOff>
      <xdr:row>34</xdr:row>
      <xdr:rowOff>34407</xdr:rowOff>
    </xdr:from>
    <xdr:to>
      <xdr:col>3</xdr:col>
      <xdr:colOff>1329748</xdr:colOff>
      <xdr:row>49</xdr:row>
      <xdr:rowOff>77269</xdr:rowOff>
    </xdr:to>
    <xdr:graphicFrame macro="">
      <xdr:nvGraphicFramePr>
        <xdr:cNvPr id="4" name="Chart 3">
          <a:extLst>
            <a:ext uri="{FF2B5EF4-FFF2-40B4-BE49-F238E27FC236}">
              <a16:creationId xmlns:a16="http://schemas.microsoft.com/office/drawing/2014/main" id="{66EEFDBD-F71A-4BC7-B0CE-7A7E5D54A671}"/>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5</xdr:col>
      <xdr:colOff>495762</xdr:colOff>
      <xdr:row>35</xdr:row>
      <xdr:rowOff>80819</xdr:rowOff>
    </xdr:from>
    <xdr:to>
      <xdr:col>9</xdr:col>
      <xdr:colOff>558627</xdr:colOff>
      <xdr:row>50</xdr:row>
      <xdr:rowOff>115638</xdr:rowOff>
    </xdr:to>
    <xdr:graphicFrame macro="">
      <xdr:nvGraphicFramePr>
        <xdr:cNvPr id="5" name="Chart 4">
          <a:extLst>
            <a:ext uri="{FF2B5EF4-FFF2-40B4-BE49-F238E27FC236}">
              <a16:creationId xmlns:a16="http://schemas.microsoft.com/office/drawing/2014/main" id="{09882B64-A71E-4405-8E48-25EA67AD63B4}"/>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xdr:from>
      <xdr:col>0</xdr:col>
      <xdr:colOff>381000</xdr:colOff>
      <xdr:row>58</xdr:row>
      <xdr:rowOff>3002</xdr:rowOff>
    </xdr:from>
    <xdr:to>
      <xdr:col>4</xdr:col>
      <xdr:colOff>367088</xdr:colOff>
      <xdr:row>73</xdr:row>
      <xdr:rowOff>45864</xdr:rowOff>
    </xdr:to>
    <xdr:graphicFrame macro="">
      <xdr:nvGraphicFramePr>
        <xdr:cNvPr id="6" name="Chart 5">
          <a:extLst>
            <a:ext uri="{FF2B5EF4-FFF2-40B4-BE49-F238E27FC236}">
              <a16:creationId xmlns:a16="http://schemas.microsoft.com/office/drawing/2014/main" id="{EBD9EFB1-71B5-4C84-BFB0-E9C67E40E29A}"/>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Vaneesa" refreshedDateIso="2026-06-19T10:45:44.87999989651143525" createdVersion="8" refreshedVersion="8" minRefreshableVersion="3" recordCount="734" xr:uid="{6EC7BC64-2D22-4D61-9B2A-C0E43D3F0BDF}">
  <cacheSource type="worksheet">
    <worksheetSource ref="A1:H735" sheet="Raw Data"/>
  </cacheSource>
  <cacheFields count="11">
    <cacheField name="TicketID" numFmtId="0">
      <sharedItems/>
    </cacheField>
    <cacheField name="Date" numFmtId="14">
      <sharedItems containsSemiMixedTypes="0" containsNonDate="0" containsDate="1" containsString="0" minDate="2025-01-01T00:00:00" maxDate="2027-01-05T00:00:00" count="734">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sharedItems>
      <fieldGroup par="10"/>
    </cacheField>
    <cacheField name="Category" numFmtId="0">
      <sharedItems/>
    </cacheField>
    <cacheField name="Priority" numFmtId="0">
      <sharedItems/>
    </cacheField>
    <cacheField name="Status" numFmtId="0">
      <sharedItems/>
    </cacheField>
    <cacheField name="Agent" numFmtId="0">
      <sharedItems count="8">
        <s v="Sarah"/>
        <s v="James"/>
        <s v="Lea"/>
        <s v="William"/>
        <s v="Zoey"/>
        <s v="Mike"/>
        <s v="John"/>
        <s v="Emma"/>
      </sharedItems>
    </cacheField>
    <cacheField name="ResolutionHours" numFmtId="2">
      <sharedItems containsString="0" containsBlank="1" containsNumber="1" containsInteger="1" minValue="2" maxValue="48"/>
    </cacheField>
    <cacheField name="Rating" numFmtId="0">
      <sharedItems containsMixedTypes="1" containsNumber="1" containsInteger="1" minValue="3" maxValue="5" count="4">
        <n v="4"/>
        <n v="3"/>
        <s v=""/>
        <n v="5"/>
      </sharedItems>
    </cacheField>
    <cacheField name="Months (Date)" numFmtId="0" databaseField="0">
      <fieldGroup base="1">
        <rangePr groupBy="months" startDate="2025-01-01T00:00:00" endDate="2027-01-05T00:00:00"/>
        <groupItems count="14">
          <s v="&lt;01-01-2025"/>
          <s v="Jan"/>
          <s v="Feb"/>
          <s v="Mar"/>
          <s v="Apr"/>
          <s v="May"/>
          <s v="Jun"/>
          <s v="Jul"/>
          <s v="Aug"/>
          <s v="Sep"/>
          <s v="Oct"/>
          <s v="Nov"/>
          <s v="Dec"/>
          <s v="&gt;05-01-2027"/>
        </groupItems>
      </fieldGroup>
    </cacheField>
    <cacheField name="Quarters (Date)" numFmtId="0" databaseField="0">
      <fieldGroup base="1">
        <rangePr groupBy="quarters" startDate="2025-01-01T00:00:00" endDate="2027-01-05T00:00:00"/>
        <groupItems count="6">
          <s v="&lt;01-01-2025"/>
          <s v="Qtr1"/>
          <s v="Qtr2"/>
          <s v="Qtr3"/>
          <s v="Qtr4"/>
          <s v="&gt;05-01-2027"/>
        </groupItems>
      </fieldGroup>
    </cacheField>
    <cacheField name="Years (Date)" numFmtId="0" databaseField="0">
      <fieldGroup base="1">
        <rangePr groupBy="years" startDate="2025-01-01T00:00:00" endDate="2027-01-05T00:00:00"/>
        <groupItems count="5">
          <s v="&lt;01-01-2025"/>
          <s v="2025"/>
          <s v="2026"/>
          <s v="2027"/>
          <s v="&gt;05-01-2027"/>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Vaneesa" refreshedDateIso="2026-06-19T11:29:26.53999972622841525" backgroundQuery="1" createdVersion="8" refreshedVersion="8" minRefreshableVersion="3" recordCount="0" supportSubquery="1" supportAdvancedDrill="1" xr:uid="{3D52075F-B2D6-4BB9-964A-321E12DB053F}">
  <cacheSource type="external" connectionId="1"/>
  <cacheFields count="2">
    <cacheField name="[Range].[Category].[Category]" caption="Category" numFmtId="0" hierarchy="2" level="1">
      <sharedItems count="5">
        <s v="Account Access"/>
        <s v="Billing"/>
        <s v="Login Issues"/>
        <s v="Refund Request"/>
        <s v="Technical"/>
      </sharedItems>
    </cacheField>
    <cacheField name="[Measures].[Count of Ticket ID]" caption="Count of Ticket ID" numFmtId="0" hierarchy="10" level="32767"/>
  </cacheFields>
  <cacheHierarchies count="12">
    <cacheHierarchy uniqueName="[Range].[Ticket ID]" caption="Ticket ID" attribute="1" defaultMemberUniqueName="[Range].[Ticket ID].[All]" allUniqueName="[Range].[Ticket I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Priority]" caption="Priority" attribute="1" defaultMemberUniqueName="[Range].[Priority].[All]" allUniqueName="[Range].[Priority].[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cacheHierarchy uniqueName="[Range].[Agent]" caption="Agent" attribute="1" defaultMemberUniqueName="[Range].[Agent].[All]" allUniqueName="[Range].[Agent].[All]" dimensionUniqueName="[Range]" displayFolder="" count="2" memberValueDatatype="130" unbalanced="0"/>
    <cacheHierarchy uniqueName="[Range].[Resolution Hours]" caption="Resolution Hours" attribute="1" defaultMemberUniqueName="[Range].[Resolution Hours].[All]" allUniqueName="[Range].[Resolution Hours].[All]" dimensionUniqueName="[Range]" displayFolder="" count="2" memberValueDatatype="130" unbalanced="0"/>
    <cacheHierarchy uniqueName="[Range].[Rating]" caption="Rating" attribute="1" defaultMemberUniqueName="[Range].[Rating].[All]" allUniqueName="[Range].[Rating].[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icket ID]" caption="Count of Ticket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Resolution Hours]" caption="Count of Resolution Hours"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Vaneesa" refreshedDateIso="2026-06-19T11:29:26.59999990370124525" backgroundQuery="1" createdVersion="8" refreshedVersion="8" minRefreshableVersion="3" recordCount="0" supportSubquery="1" supportAdvancedDrill="1" xr:uid="{21A95F7B-7D05-465C-BB9C-F70E55E7DD6C}">
  <cacheSource type="external" connectionId="1"/>
  <cacheFields count="3">
    <cacheField name="[Range].[Status].[Status]" caption="Status" numFmtId="0" hierarchy="4" level="1">
      <sharedItems count="4">
        <s v="Closed"/>
        <s v="Escalated"/>
        <s v="Open"/>
        <s v="Pending"/>
      </sharedItems>
    </cacheField>
    <cacheField name="[Measures].[Count of Ticket ID]" caption="Count of Ticket ID" numFmtId="0" hierarchy="10" level="32767"/>
    <cacheField name="[Range].[Category].[Category]" caption="Category" numFmtId="0" hierarchy="2" level="1">
      <sharedItems containsSemiMixedTypes="0" containsNonDate="0" containsString="0"/>
    </cacheField>
  </cacheFields>
  <cacheHierarchies count="12">
    <cacheHierarchy uniqueName="[Range].[Ticket ID]" caption="Ticket ID" attribute="1" defaultMemberUniqueName="[Range].[Ticket ID].[All]" allUniqueName="[Range].[Ticket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Priority]" caption="Priority" attribute="1" defaultMemberUniqueName="[Range].[Priority].[All]" allUniqueName="[Range].[Priority].[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0"/>
      </fieldsUsage>
    </cacheHierarchy>
    <cacheHierarchy uniqueName="[Range].[Agent]" caption="Agent" attribute="1" defaultMemberUniqueName="[Range].[Agent].[All]" allUniqueName="[Range].[Agent].[All]" dimensionUniqueName="[Range]" displayFolder="" count="2" memberValueDatatype="130" unbalanced="0"/>
    <cacheHierarchy uniqueName="[Range].[Resolution Hours]" caption="Resolution Hours" attribute="1" defaultMemberUniqueName="[Range].[Resolution Hours].[All]" allUniqueName="[Range].[Resolution Hours].[All]" dimensionUniqueName="[Range]" displayFolder="" count="0" memberValueDatatype="130" unbalanced="0"/>
    <cacheHierarchy uniqueName="[Range].[Rating]" caption="Rating" attribute="1" defaultMemberUniqueName="[Range].[Rating].[All]" allUniqueName="[Range].[Rating].[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icket ID]" caption="Count of Ticket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Resolution Hours]" caption="Count of Resolution Hours"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saveData="0" refreshedBy="Vaneesa" refreshedDateIso="2026-06-19T11:25:19.49000009335577175" backgroundQuery="1" createdVersion="3" refreshedVersion="8" minRefreshableVersion="3" recordCount="0" supportSubquery="1" supportAdvancedDrill="1" xr:uid="{6ECB185E-8AB5-4BA5-ADFE-4F150B8E9182}">
  <cacheSource type="external" connectionId="1">
    <extLst>
      <ext xmlns:x14="http://schemas.microsoft.com/office/spreadsheetml/2009/9/main" uri="{F057638F-6D5F-4e77-A914-E7F072B9BCA8}">
        <x14:sourceConnection name="ThisWorkbookDataModel"/>
      </ext>
    </extLst>
  </cacheSource>
  <cacheFields count="0"/>
  <cacheHierarchies count="12">
    <cacheHierarchy uniqueName="[Range].[Ticket ID]" caption="Ticket ID" attribute="1" defaultMemberUniqueName="[Range].[Ticket ID].[All]" allUniqueName="[Range].[Ticket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ategory]" caption="Category" attribute="1" defaultMemberUniqueName="[Range].[Category].[All]" allUniqueName="[Range].[Category].[All]" dimensionUniqueName="[Range]" displayFolder="" count="2" memberValueDatatype="130" unbalanced="0"/>
    <cacheHierarchy uniqueName="[Range].[Priority]" caption="Priority" attribute="1" defaultMemberUniqueName="[Range].[Priority].[All]" allUniqueName="[Range].[Priority].[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cacheHierarchy uniqueName="[Range].[Agent]" caption="Agent" attribute="1" defaultMemberUniqueName="[Range].[Agent].[All]" allUniqueName="[Range].[Agent].[All]" dimensionUniqueName="[Range]" displayFolder="" count="2" memberValueDatatype="130" unbalanced="0"/>
    <cacheHierarchy uniqueName="[Range].[Resolution Hours]" caption="Resolution Hours" attribute="1" defaultMemberUniqueName="[Range].[Resolution Hours].[All]" allUniqueName="[Range].[Resolution Hours].[All]" dimensionUniqueName="[Range]" displayFolder="" count="0" memberValueDatatype="130" unbalanced="0"/>
    <cacheHierarchy uniqueName="[Range].[Rating]" caption="Rating" attribute="1" defaultMemberUniqueName="[Range].[Rating].[All]" allUniqueName="[Range].[Rating].[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icket ID]" caption="Count of Ticket ID" measure="1" displayFolder="" measureGroup="Range" count="0" hidden="1">
      <extLst>
        <ext xmlns:x15="http://schemas.microsoft.com/office/spreadsheetml/2010/11/main" uri="{B97F6D7D-B522-45F9-BDA1-12C45D357490}">
          <x15:cacheHierarchy aggregatedColumn="0"/>
        </ext>
      </extLst>
    </cacheHierarchy>
    <cacheHierarchy uniqueName="[Measures].[Count of Resolution Hours]" caption="Count of Resolution Hours" measure="1" displayFolder="" measureGroup="Rang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384527110" supportSubqueryNonVisual="1" supportSubqueryCalcMem="1" supportAddCalcMems="1"/>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734">
  <r>
    <s v="T001"/>
    <x v="0"/>
    <s v="Technical"/>
    <s v="Medium"/>
    <s v="Closed"/>
    <x v="0"/>
    <n v="27"/>
    <x v="0"/>
  </r>
  <r>
    <s v="T002"/>
    <x v="1"/>
    <s v="AccountAccess"/>
    <s v="High"/>
    <s v="Closed"/>
    <x v="1"/>
    <n v="6"/>
    <x v="1"/>
  </r>
  <r>
    <s v="T003"/>
    <x v="2"/>
    <s v="AccountAccess"/>
    <s v="High"/>
    <s v="Open"/>
    <x v="2"/>
    <m/>
    <x v="2"/>
  </r>
  <r>
    <s v="T004"/>
    <x v="3"/>
    <s v="AccountAccess"/>
    <s v="High"/>
    <s v="Closed"/>
    <x v="2"/>
    <n v="6"/>
    <x v="1"/>
  </r>
  <r>
    <s v="T005"/>
    <x v="4"/>
    <s v="Technical"/>
    <s v="High"/>
    <s v="Open"/>
    <x v="3"/>
    <m/>
    <x v="2"/>
  </r>
  <r>
    <s v="T006"/>
    <x v="5"/>
    <s v="LoginIssues"/>
    <s v="High"/>
    <s v="Open"/>
    <x v="4"/>
    <m/>
    <x v="2"/>
  </r>
  <r>
    <s v="T007"/>
    <x v="6"/>
    <s v="Billing"/>
    <s v="Medium"/>
    <s v="Open"/>
    <x v="0"/>
    <m/>
    <x v="2"/>
  </r>
  <r>
    <s v="T008"/>
    <x v="7"/>
    <s v="AccountAccess"/>
    <s v="High"/>
    <s v="Pending"/>
    <x v="4"/>
    <m/>
    <x v="2"/>
  </r>
  <r>
    <s v="T009"/>
    <x v="8"/>
    <s v="Technical"/>
    <s v="Medium"/>
    <s v="Closed"/>
    <x v="5"/>
    <n v="14"/>
    <x v="1"/>
  </r>
  <r>
    <s v="T010"/>
    <x v="9"/>
    <s v="Technical"/>
    <s v="Medium"/>
    <s v="Closed"/>
    <x v="1"/>
    <n v="23"/>
    <x v="0"/>
  </r>
  <r>
    <s v="T011"/>
    <x v="10"/>
    <s v="LoginIssues"/>
    <s v="Medium"/>
    <s v="Open"/>
    <x v="3"/>
    <m/>
    <x v="2"/>
  </r>
  <r>
    <s v="T012"/>
    <x v="11"/>
    <s v="RefundRequest"/>
    <s v="Medium"/>
    <s v="Escalated"/>
    <x v="5"/>
    <m/>
    <x v="2"/>
  </r>
  <r>
    <s v="T013"/>
    <x v="12"/>
    <s v="LoginIssues"/>
    <s v="High"/>
    <s v="Pending"/>
    <x v="3"/>
    <m/>
    <x v="2"/>
  </r>
  <r>
    <s v="T014"/>
    <x v="13"/>
    <s v="RefundRequest"/>
    <s v="Medium"/>
    <s v="Closed"/>
    <x v="3"/>
    <n v="10"/>
    <x v="0"/>
  </r>
  <r>
    <s v="T015"/>
    <x v="14"/>
    <s v="Technical"/>
    <s v="High"/>
    <s v="Open"/>
    <x v="1"/>
    <m/>
    <x v="2"/>
  </r>
  <r>
    <s v="T016"/>
    <x v="15"/>
    <s v="RefundRequest"/>
    <s v="Medium"/>
    <s v="Open"/>
    <x v="4"/>
    <m/>
    <x v="2"/>
  </r>
  <r>
    <s v="T017"/>
    <x v="16"/>
    <s v="AccountAccess"/>
    <s v="High"/>
    <s v="Open"/>
    <x v="6"/>
    <m/>
    <x v="2"/>
  </r>
  <r>
    <s v="T018"/>
    <x v="17"/>
    <s v="LoginIssues"/>
    <s v="Medium"/>
    <s v="Pending"/>
    <x v="7"/>
    <m/>
    <x v="2"/>
  </r>
  <r>
    <s v="T019"/>
    <x v="18"/>
    <s v="AccountAccess"/>
    <s v="High"/>
    <s v="Closed"/>
    <x v="1"/>
    <n v="3"/>
    <x v="3"/>
  </r>
  <r>
    <s v="T020"/>
    <x v="19"/>
    <s v="LoginIssues"/>
    <s v="Medium"/>
    <s v="Closed"/>
    <x v="7"/>
    <n v="38"/>
    <x v="3"/>
  </r>
  <r>
    <s v="T021"/>
    <x v="20"/>
    <s v="AccountAccess"/>
    <s v="High"/>
    <s v="Closed"/>
    <x v="2"/>
    <n v="7"/>
    <x v="3"/>
  </r>
  <r>
    <s v="T022"/>
    <x v="21"/>
    <s v="AccountAccess"/>
    <s v="High"/>
    <s v="Closed"/>
    <x v="6"/>
    <n v="4"/>
    <x v="0"/>
  </r>
  <r>
    <s v="T023"/>
    <x v="22"/>
    <s v="AccountAccess"/>
    <s v="High"/>
    <s v="Closed"/>
    <x v="2"/>
    <n v="3"/>
    <x v="0"/>
  </r>
  <r>
    <s v="T024"/>
    <x v="23"/>
    <s v="RefundRequest"/>
    <s v="Medium"/>
    <s v="Closed"/>
    <x v="2"/>
    <n v="11"/>
    <x v="1"/>
  </r>
  <r>
    <s v="T025"/>
    <x v="24"/>
    <s v="AccountAccess"/>
    <s v="High"/>
    <s v="Closed"/>
    <x v="3"/>
    <n v="2"/>
    <x v="1"/>
  </r>
  <r>
    <s v="T026"/>
    <x v="25"/>
    <s v="AccountAccess"/>
    <s v="High"/>
    <s v="Open"/>
    <x v="7"/>
    <m/>
    <x v="2"/>
  </r>
  <r>
    <s v="T027"/>
    <x v="26"/>
    <s v="Billing"/>
    <s v="Medium"/>
    <s v="Closed"/>
    <x v="1"/>
    <n v="4"/>
    <x v="1"/>
  </r>
  <r>
    <s v="T028"/>
    <x v="27"/>
    <s v="LoginIssues"/>
    <s v="Medium"/>
    <s v="Open"/>
    <x v="4"/>
    <m/>
    <x v="2"/>
  </r>
  <r>
    <s v="T029"/>
    <x v="28"/>
    <s v="Billing"/>
    <s v="Medium"/>
    <s v="Pending"/>
    <x v="6"/>
    <m/>
    <x v="2"/>
  </r>
  <r>
    <s v="T030"/>
    <x v="29"/>
    <s v="Billing"/>
    <s v="Medium"/>
    <s v="Pending"/>
    <x v="5"/>
    <m/>
    <x v="2"/>
  </r>
  <r>
    <s v="T031"/>
    <x v="30"/>
    <s v="AccountAccess"/>
    <s v="High"/>
    <s v="Pending"/>
    <x v="2"/>
    <m/>
    <x v="2"/>
  </r>
  <r>
    <s v="T032"/>
    <x v="31"/>
    <s v="RefundRequest"/>
    <s v="Medium"/>
    <s v="Open"/>
    <x v="3"/>
    <m/>
    <x v="2"/>
  </r>
  <r>
    <s v="T033"/>
    <x v="32"/>
    <s v="Billing"/>
    <s v="Medium"/>
    <s v="Closed"/>
    <x v="5"/>
    <n v="3"/>
    <x v="1"/>
  </r>
  <r>
    <s v="T034"/>
    <x v="33"/>
    <s v="Billing"/>
    <s v="Medium"/>
    <s v="Escalated"/>
    <x v="1"/>
    <m/>
    <x v="2"/>
  </r>
  <r>
    <s v="T035"/>
    <x v="34"/>
    <s v="AccountAccess"/>
    <s v="High"/>
    <s v="Open"/>
    <x v="5"/>
    <m/>
    <x v="2"/>
  </r>
  <r>
    <s v="T036"/>
    <x v="35"/>
    <s v="Billing"/>
    <s v="Medium"/>
    <s v="Closed"/>
    <x v="5"/>
    <n v="6"/>
    <x v="0"/>
  </r>
  <r>
    <s v="T037"/>
    <x v="36"/>
    <s v="LoginIssues"/>
    <s v="Medium"/>
    <s v="Open"/>
    <x v="7"/>
    <m/>
    <x v="2"/>
  </r>
  <r>
    <s v="T038"/>
    <x v="37"/>
    <s v="Technical"/>
    <s v="High"/>
    <s v="Pending"/>
    <x v="0"/>
    <m/>
    <x v="2"/>
  </r>
  <r>
    <s v="T039"/>
    <x v="38"/>
    <s v="RefundRequest"/>
    <s v="Medium"/>
    <s v="Closed"/>
    <x v="5"/>
    <n v="14"/>
    <x v="0"/>
  </r>
  <r>
    <s v="T040"/>
    <x v="39"/>
    <s v="Technical"/>
    <s v="High"/>
    <s v="Open"/>
    <x v="1"/>
    <m/>
    <x v="2"/>
  </r>
  <r>
    <s v="T041"/>
    <x v="40"/>
    <s v="RefundRequest"/>
    <s v="Medium"/>
    <s v="Pending"/>
    <x v="5"/>
    <m/>
    <x v="2"/>
  </r>
  <r>
    <s v="T042"/>
    <x v="41"/>
    <s v="AccountAccess"/>
    <s v="High"/>
    <s v="Escalated"/>
    <x v="4"/>
    <m/>
    <x v="2"/>
  </r>
  <r>
    <s v="T043"/>
    <x v="42"/>
    <s v="Billing"/>
    <s v="Medium"/>
    <s v="Closed"/>
    <x v="6"/>
    <n v="4"/>
    <x v="0"/>
  </r>
  <r>
    <s v="T044"/>
    <x v="43"/>
    <s v="Billing"/>
    <s v="Medium"/>
    <s v="Escalated"/>
    <x v="4"/>
    <m/>
    <x v="2"/>
  </r>
  <r>
    <s v="T045"/>
    <x v="44"/>
    <s v="LoginIssues"/>
    <s v="High"/>
    <s v="Pending"/>
    <x v="5"/>
    <m/>
    <x v="2"/>
  </r>
  <r>
    <s v="T046"/>
    <x v="45"/>
    <s v="RefundRequest"/>
    <s v="Medium"/>
    <s v="Escalated"/>
    <x v="5"/>
    <m/>
    <x v="2"/>
  </r>
  <r>
    <s v="T047"/>
    <x v="46"/>
    <s v="Billing"/>
    <s v="Medium"/>
    <s v="Closed"/>
    <x v="6"/>
    <n v="5"/>
    <x v="0"/>
  </r>
  <r>
    <s v="T048"/>
    <x v="47"/>
    <s v="LoginIssues"/>
    <s v="High"/>
    <s v="Closed"/>
    <x v="1"/>
    <n v="15"/>
    <x v="3"/>
  </r>
  <r>
    <s v="T049"/>
    <x v="48"/>
    <s v="Technical"/>
    <s v="High"/>
    <s v="Open"/>
    <x v="5"/>
    <m/>
    <x v="2"/>
  </r>
  <r>
    <s v="T050"/>
    <x v="49"/>
    <s v="AccountAccess"/>
    <s v="High"/>
    <s v="Closed"/>
    <x v="5"/>
    <n v="8"/>
    <x v="0"/>
  </r>
  <r>
    <s v="T051"/>
    <x v="50"/>
    <s v="Technical"/>
    <s v="High"/>
    <s v="Open"/>
    <x v="5"/>
    <m/>
    <x v="2"/>
  </r>
  <r>
    <s v="T052"/>
    <x v="51"/>
    <s v="Technical"/>
    <s v="High"/>
    <s v="Closed"/>
    <x v="2"/>
    <n v="42"/>
    <x v="1"/>
  </r>
  <r>
    <s v="T053"/>
    <x v="52"/>
    <s v="Technical"/>
    <s v="Medium"/>
    <s v="Open"/>
    <x v="2"/>
    <m/>
    <x v="2"/>
  </r>
  <r>
    <s v="T054"/>
    <x v="53"/>
    <s v="AccountAccess"/>
    <s v="High"/>
    <s v="Open"/>
    <x v="1"/>
    <m/>
    <x v="2"/>
  </r>
  <r>
    <s v="T055"/>
    <x v="54"/>
    <s v="AccountAccess"/>
    <s v="High"/>
    <s v="Closed"/>
    <x v="0"/>
    <n v="4"/>
    <x v="1"/>
  </r>
  <r>
    <s v="T056"/>
    <x v="55"/>
    <s v="LoginIssues"/>
    <s v="High"/>
    <s v="Pending"/>
    <x v="5"/>
    <m/>
    <x v="2"/>
  </r>
  <r>
    <s v="T057"/>
    <x v="56"/>
    <s v="LoginIssues"/>
    <s v="High"/>
    <s v="Escalated"/>
    <x v="3"/>
    <m/>
    <x v="2"/>
  </r>
  <r>
    <s v="T058"/>
    <x v="57"/>
    <s v="LoginIssues"/>
    <s v="High"/>
    <s v="Closed"/>
    <x v="4"/>
    <n v="15"/>
    <x v="0"/>
  </r>
  <r>
    <s v="T059"/>
    <x v="58"/>
    <s v="LoginIssues"/>
    <s v="High"/>
    <s v="Pending"/>
    <x v="5"/>
    <m/>
    <x v="2"/>
  </r>
  <r>
    <s v="T060"/>
    <x v="59"/>
    <s v="Billing"/>
    <s v="Medium"/>
    <s v="Closed"/>
    <x v="2"/>
    <n v="3"/>
    <x v="1"/>
  </r>
  <r>
    <s v="T061"/>
    <x v="60"/>
    <s v="RefundRequest"/>
    <s v="Medium"/>
    <s v="Closed"/>
    <x v="3"/>
    <n v="15"/>
    <x v="1"/>
  </r>
  <r>
    <s v="T062"/>
    <x v="61"/>
    <s v="LoginIssues"/>
    <s v="High"/>
    <s v="Closed"/>
    <x v="2"/>
    <n v="27"/>
    <x v="3"/>
  </r>
  <r>
    <s v="T063"/>
    <x v="62"/>
    <s v="LoginIssues"/>
    <s v="Medium"/>
    <s v="Escalated"/>
    <x v="2"/>
    <m/>
    <x v="2"/>
  </r>
  <r>
    <s v="T064"/>
    <x v="63"/>
    <s v="Technical"/>
    <s v="Medium"/>
    <s v="Open"/>
    <x v="7"/>
    <m/>
    <x v="2"/>
  </r>
  <r>
    <s v="T065"/>
    <x v="64"/>
    <s v="LoginIssues"/>
    <s v="High"/>
    <s v="Escalated"/>
    <x v="2"/>
    <m/>
    <x v="2"/>
  </r>
  <r>
    <s v="T066"/>
    <x v="65"/>
    <s v="AccountAccess"/>
    <s v="High"/>
    <s v="Pending"/>
    <x v="7"/>
    <m/>
    <x v="2"/>
  </r>
  <r>
    <s v="T067"/>
    <x v="66"/>
    <s v="Technical"/>
    <s v="Medium"/>
    <s v="Open"/>
    <x v="5"/>
    <m/>
    <x v="2"/>
  </r>
  <r>
    <s v="T068"/>
    <x v="67"/>
    <s v="RefundRequest"/>
    <s v="Medium"/>
    <s v="Pending"/>
    <x v="0"/>
    <m/>
    <x v="2"/>
  </r>
  <r>
    <s v="T069"/>
    <x v="68"/>
    <s v="Technical"/>
    <s v="Medium"/>
    <s v="Closed"/>
    <x v="1"/>
    <n v="13"/>
    <x v="1"/>
  </r>
  <r>
    <s v="T070"/>
    <x v="69"/>
    <s v="RefundRequest"/>
    <s v="Medium"/>
    <s v="Open"/>
    <x v="3"/>
    <m/>
    <x v="2"/>
  </r>
  <r>
    <s v="T071"/>
    <x v="70"/>
    <s v="Technical"/>
    <s v="Medium"/>
    <s v="Open"/>
    <x v="0"/>
    <m/>
    <x v="2"/>
  </r>
  <r>
    <s v="T072"/>
    <x v="71"/>
    <s v="RefundRequest"/>
    <s v="Medium"/>
    <s v="Open"/>
    <x v="5"/>
    <m/>
    <x v="2"/>
  </r>
  <r>
    <s v="T073"/>
    <x v="72"/>
    <s v="RefundRequest"/>
    <s v="Medium"/>
    <s v="Pending"/>
    <x v="0"/>
    <m/>
    <x v="2"/>
  </r>
  <r>
    <s v="T074"/>
    <x v="73"/>
    <s v="RefundRequest"/>
    <s v="Medium"/>
    <s v="Closed"/>
    <x v="4"/>
    <n v="7"/>
    <x v="3"/>
  </r>
  <r>
    <s v="T075"/>
    <x v="74"/>
    <s v="AccountAccess"/>
    <s v="High"/>
    <s v="Open"/>
    <x v="2"/>
    <m/>
    <x v="2"/>
  </r>
  <r>
    <s v="T076"/>
    <x v="75"/>
    <s v="AccountAccess"/>
    <s v="High"/>
    <s v="Escalated"/>
    <x v="6"/>
    <m/>
    <x v="2"/>
  </r>
  <r>
    <s v="T077"/>
    <x v="76"/>
    <s v="RefundRequest"/>
    <s v="Medium"/>
    <s v="Closed"/>
    <x v="3"/>
    <n v="9"/>
    <x v="1"/>
  </r>
  <r>
    <s v="T078"/>
    <x v="77"/>
    <s v="Technical"/>
    <s v="Medium"/>
    <s v="Pending"/>
    <x v="2"/>
    <m/>
    <x v="2"/>
  </r>
  <r>
    <s v="T079"/>
    <x v="78"/>
    <s v="RefundRequest"/>
    <s v="Medium"/>
    <s v="Escalated"/>
    <x v="5"/>
    <m/>
    <x v="2"/>
  </r>
  <r>
    <s v="T080"/>
    <x v="79"/>
    <s v="AccountAccess"/>
    <s v="High"/>
    <s v="Open"/>
    <x v="7"/>
    <m/>
    <x v="2"/>
  </r>
  <r>
    <s v="T081"/>
    <x v="80"/>
    <s v="RefundRequest"/>
    <s v="Medium"/>
    <s v="Closed"/>
    <x v="3"/>
    <n v="13"/>
    <x v="1"/>
  </r>
  <r>
    <s v="T082"/>
    <x v="81"/>
    <s v="AccountAccess"/>
    <s v="High"/>
    <s v="Escalated"/>
    <x v="7"/>
    <m/>
    <x v="2"/>
  </r>
  <r>
    <s v="T083"/>
    <x v="82"/>
    <s v="Billing"/>
    <s v="Medium"/>
    <s v="Pending"/>
    <x v="3"/>
    <m/>
    <x v="2"/>
  </r>
  <r>
    <s v="T084"/>
    <x v="83"/>
    <s v="Technical"/>
    <s v="Medium"/>
    <s v="Open"/>
    <x v="0"/>
    <m/>
    <x v="2"/>
  </r>
  <r>
    <s v="T085"/>
    <x v="84"/>
    <s v="AccountAccess"/>
    <s v="High"/>
    <s v="Closed"/>
    <x v="6"/>
    <n v="4"/>
    <x v="3"/>
  </r>
  <r>
    <s v="T086"/>
    <x v="85"/>
    <s v="Technical"/>
    <s v="High"/>
    <s v="Closed"/>
    <x v="7"/>
    <n v="37"/>
    <x v="3"/>
  </r>
  <r>
    <s v="T087"/>
    <x v="86"/>
    <s v="Technical"/>
    <s v="High"/>
    <s v="Pending"/>
    <x v="1"/>
    <m/>
    <x v="2"/>
  </r>
  <r>
    <s v="T088"/>
    <x v="87"/>
    <s v="RefundRequest"/>
    <s v="Medium"/>
    <s v="Open"/>
    <x v="2"/>
    <m/>
    <x v="2"/>
  </r>
  <r>
    <s v="T089"/>
    <x v="88"/>
    <s v="Billing"/>
    <s v="Medium"/>
    <s v="Pending"/>
    <x v="7"/>
    <m/>
    <x v="2"/>
  </r>
  <r>
    <s v="T090"/>
    <x v="89"/>
    <s v="Technical"/>
    <s v="Medium"/>
    <s v="Closed"/>
    <x v="0"/>
    <n v="40"/>
    <x v="1"/>
  </r>
  <r>
    <s v="T091"/>
    <x v="90"/>
    <s v="RefundRequest"/>
    <s v="Medium"/>
    <s v="Open"/>
    <x v="0"/>
    <m/>
    <x v="2"/>
  </r>
  <r>
    <s v="T092"/>
    <x v="91"/>
    <s v="AccountAccess"/>
    <s v="High"/>
    <s v="Closed"/>
    <x v="5"/>
    <n v="6"/>
    <x v="1"/>
  </r>
  <r>
    <s v="T093"/>
    <x v="92"/>
    <s v="Billing"/>
    <s v="Medium"/>
    <s v="Open"/>
    <x v="2"/>
    <m/>
    <x v="2"/>
  </r>
  <r>
    <s v="T094"/>
    <x v="93"/>
    <s v="AccountAccess"/>
    <s v="High"/>
    <s v="Closed"/>
    <x v="5"/>
    <n v="7"/>
    <x v="1"/>
  </r>
  <r>
    <s v="T095"/>
    <x v="94"/>
    <s v="RefundRequest"/>
    <s v="Medium"/>
    <s v="Open"/>
    <x v="3"/>
    <m/>
    <x v="2"/>
  </r>
  <r>
    <s v="T096"/>
    <x v="95"/>
    <s v="RefundRequest"/>
    <s v="Medium"/>
    <s v="Open"/>
    <x v="7"/>
    <m/>
    <x v="2"/>
  </r>
  <r>
    <s v="T097"/>
    <x v="96"/>
    <s v="AccountAccess"/>
    <s v="High"/>
    <s v="Escalated"/>
    <x v="6"/>
    <m/>
    <x v="2"/>
  </r>
  <r>
    <s v="T098"/>
    <x v="97"/>
    <s v="Billing"/>
    <s v="Medium"/>
    <s v="Open"/>
    <x v="6"/>
    <m/>
    <x v="2"/>
  </r>
  <r>
    <s v="T099"/>
    <x v="98"/>
    <s v="LoginIssues"/>
    <s v="Medium"/>
    <s v="Pending"/>
    <x v="1"/>
    <m/>
    <x v="2"/>
  </r>
  <r>
    <s v="T100"/>
    <x v="99"/>
    <s v="Billing"/>
    <s v="Medium"/>
    <s v="Closed"/>
    <x v="6"/>
    <n v="5"/>
    <x v="0"/>
  </r>
  <r>
    <s v="T101"/>
    <x v="100"/>
    <s v="Technical"/>
    <s v="High"/>
    <s v="Open"/>
    <x v="3"/>
    <m/>
    <x v="2"/>
  </r>
  <r>
    <s v="T102"/>
    <x v="101"/>
    <s v="LoginIssues"/>
    <s v="High"/>
    <s v="Open"/>
    <x v="1"/>
    <m/>
    <x v="2"/>
  </r>
  <r>
    <s v="T103"/>
    <x v="102"/>
    <s v="AccountAccess"/>
    <s v="High"/>
    <s v="Open"/>
    <x v="3"/>
    <m/>
    <x v="2"/>
  </r>
  <r>
    <s v="T104"/>
    <x v="103"/>
    <s v="Technical"/>
    <s v="High"/>
    <s v="Open"/>
    <x v="4"/>
    <m/>
    <x v="2"/>
  </r>
  <r>
    <s v="T105"/>
    <x v="104"/>
    <s v="Billing"/>
    <s v="Medium"/>
    <s v="Closed"/>
    <x v="4"/>
    <n v="7"/>
    <x v="0"/>
  </r>
  <r>
    <s v="T106"/>
    <x v="105"/>
    <s v="AccountAccess"/>
    <s v="High"/>
    <s v="Closed"/>
    <x v="2"/>
    <n v="3"/>
    <x v="0"/>
  </r>
  <r>
    <s v="T107"/>
    <x v="106"/>
    <s v="LoginIssues"/>
    <s v="High"/>
    <s v="Pending"/>
    <x v="4"/>
    <m/>
    <x v="2"/>
  </r>
  <r>
    <s v="T108"/>
    <x v="107"/>
    <s v="LoginIssues"/>
    <s v="Medium"/>
    <s v="Open"/>
    <x v="6"/>
    <m/>
    <x v="2"/>
  </r>
  <r>
    <s v="T109"/>
    <x v="108"/>
    <s v="Billing"/>
    <s v="Medium"/>
    <s v="Pending"/>
    <x v="2"/>
    <m/>
    <x v="2"/>
  </r>
  <r>
    <s v="T110"/>
    <x v="109"/>
    <s v="LoginIssues"/>
    <s v="High"/>
    <s v="Closed"/>
    <x v="2"/>
    <n v="42"/>
    <x v="1"/>
  </r>
  <r>
    <s v="T111"/>
    <x v="110"/>
    <s v="RefundRequest"/>
    <s v="Medium"/>
    <s v="Closed"/>
    <x v="6"/>
    <n v="10"/>
    <x v="0"/>
  </r>
  <r>
    <s v="T112"/>
    <x v="111"/>
    <s v="Technical"/>
    <s v="High"/>
    <s v="Closed"/>
    <x v="1"/>
    <n v="16"/>
    <x v="1"/>
  </r>
  <r>
    <s v="T113"/>
    <x v="112"/>
    <s v="Billing"/>
    <s v="Medium"/>
    <s v="Open"/>
    <x v="3"/>
    <m/>
    <x v="2"/>
  </r>
  <r>
    <s v="T114"/>
    <x v="113"/>
    <s v="RefundRequest"/>
    <s v="Medium"/>
    <s v="Open"/>
    <x v="4"/>
    <m/>
    <x v="2"/>
  </r>
  <r>
    <s v="T115"/>
    <x v="114"/>
    <s v="RefundRequest"/>
    <s v="Medium"/>
    <s v="Escalated"/>
    <x v="0"/>
    <m/>
    <x v="2"/>
  </r>
  <r>
    <s v="T116"/>
    <x v="115"/>
    <s v="AccountAccess"/>
    <s v="High"/>
    <s v="Closed"/>
    <x v="1"/>
    <n v="2"/>
    <x v="0"/>
  </r>
  <r>
    <s v="T117"/>
    <x v="116"/>
    <s v="RefundRequest"/>
    <s v="Medium"/>
    <s v="Open"/>
    <x v="5"/>
    <m/>
    <x v="2"/>
  </r>
  <r>
    <s v="T118"/>
    <x v="117"/>
    <s v="RefundRequest"/>
    <s v="Medium"/>
    <s v="Escalated"/>
    <x v="0"/>
    <m/>
    <x v="2"/>
  </r>
  <r>
    <s v="T119"/>
    <x v="118"/>
    <s v="RefundRequest"/>
    <s v="Medium"/>
    <s v="Pending"/>
    <x v="4"/>
    <m/>
    <x v="2"/>
  </r>
  <r>
    <s v="T120"/>
    <x v="119"/>
    <s v="RefundRequest"/>
    <s v="Medium"/>
    <s v="Open"/>
    <x v="4"/>
    <m/>
    <x v="2"/>
  </r>
  <r>
    <s v="T121"/>
    <x v="120"/>
    <s v="Billing"/>
    <s v="Medium"/>
    <s v="Closed"/>
    <x v="2"/>
    <n v="3"/>
    <x v="0"/>
  </r>
  <r>
    <s v="T122"/>
    <x v="121"/>
    <s v="RefundRequest"/>
    <s v="Medium"/>
    <s v="Escalated"/>
    <x v="1"/>
    <m/>
    <x v="2"/>
  </r>
  <r>
    <s v="T123"/>
    <x v="122"/>
    <s v="Technical"/>
    <s v="High"/>
    <s v="Open"/>
    <x v="4"/>
    <m/>
    <x v="2"/>
  </r>
  <r>
    <s v="T124"/>
    <x v="123"/>
    <s v="Billing"/>
    <s v="Medium"/>
    <s v="Closed"/>
    <x v="5"/>
    <n v="8"/>
    <x v="1"/>
  </r>
  <r>
    <s v="T125"/>
    <x v="124"/>
    <s v="AccountAccess"/>
    <s v="High"/>
    <s v="Closed"/>
    <x v="7"/>
    <n v="6"/>
    <x v="3"/>
  </r>
  <r>
    <s v="T126"/>
    <x v="125"/>
    <s v="Billing"/>
    <s v="Medium"/>
    <s v="Pending"/>
    <x v="3"/>
    <m/>
    <x v="2"/>
  </r>
  <r>
    <s v="T127"/>
    <x v="126"/>
    <s v="LoginIssues"/>
    <s v="High"/>
    <s v="Escalated"/>
    <x v="0"/>
    <m/>
    <x v="2"/>
  </r>
  <r>
    <s v="T128"/>
    <x v="127"/>
    <s v="LoginIssues"/>
    <s v="Medium"/>
    <s v="Open"/>
    <x v="6"/>
    <m/>
    <x v="2"/>
  </r>
  <r>
    <s v="T129"/>
    <x v="128"/>
    <s v="Billing"/>
    <s v="Medium"/>
    <s v="Escalated"/>
    <x v="4"/>
    <m/>
    <x v="2"/>
  </r>
  <r>
    <s v="T130"/>
    <x v="129"/>
    <s v="AccountAccess"/>
    <s v="High"/>
    <s v="Escalated"/>
    <x v="4"/>
    <m/>
    <x v="2"/>
  </r>
  <r>
    <s v="T131"/>
    <x v="130"/>
    <s v="Technical"/>
    <s v="Medium"/>
    <s v="Escalated"/>
    <x v="0"/>
    <m/>
    <x v="2"/>
  </r>
  <r>
    <s v="T132"/>
    <x v="131"/>
    <s v="Technical"/>
    <s v="Medium"/>
    <s v="Closed"/>
    <x v="0"/>
    <n v="29"/>
    <x v="3"/>
  </r>
  <r>
    <s v="T133"/>
    <x v="132"/>
    <s v="LoginIssues"/>
    <s v="High"/>
    <s v="Escalated"/>
    <x v="5"/>
    <m/>
    <x v="2"/>
  </r>
  <r>
    <s v="T134"/>
    <x v="133"/>
    <s v="Technical"/>
    <s v="High"/>
    <s v="Open"/>
    <x v="2"/>
    <m/>
    <x v="2"/>
  </r>
  <r>
    <s v="T135"/>
    <x v="134"/>
    <s v="AccountAccess"/>
    <s v="High"/>
    <s v="Pending"/>
    <x v="6"/>
    <m/>
    <x v="2"/>
  </r>
  <r>
    <s v="T136"/>
    <x v="135"/>
    <s v="RefundRequest"/>
    <s v="Medium"/>
    <s v="Open"/>
    <x v="0"/>
    <m/>
    <x v="2"/>
  </r>
  <r>
    <s v="T137"/>
    <x v="136"/>
    <s v="LoginIssues"/>
    <s v="High"/>
    <s v="Open"/>
    <x v="6"/>
    <m/>
    <x v="2"/>
  </r>
  <r>
    <s v="T138"/>
    <x v="137"/>
    <s v="Technical"/>
    <s v="High"/>
    <s v="Open"/>
    <x v="4"/>
    <m/>
    <x v="2"/>
  </r>
  <r>
    <s v="T139"/>
    <x v="138"/>
    <s v="RefundRequest"/>
    <s v="Medium"/>
    <s v="Open"/>
    <x v="3"/>
    <m/>
    <x v="2"/>
  </r>
  <r>
    <s v="T140"/>
    <x v="139"/>
    <s v="Technical"/>
    <s v="High"/>
    <s v="Closed"/>
    <x v="6"/>
    <n v="16"/>
    <x v="0"/>
  </r>
  <r>
    <s v="T141"/>
    <x v="140"/>
    <s v="AccountAccess"/>
    <s v="High"/>
    <s v="Open"/>
    <x v="2"/>
    <m/>
    <x v="2"/>
  </r>
  <r>
    <s v="T142"/>
    <x v="141"/>
    <s v="Billing"/>
    <s v="Medium"/>
    <s v="Closed"/>
    <x v="1"/>
    <n v="8"/>
    <x v="0"/>
  </r>
  <r>
    <s v="T143"/>
    <x v="142"/>
    <s v="AccountAccess"/>
    <s v="High"/>
    <s v="Closed"/>
    <x v="0"/>
    <n v="7"/>
    <x v="1"/>
  </r>
  <r>
    <s v="T144"/>
    <x v="143"/>
    <s v="Billing"/>
    <s v="Medium"/>
    <s v="Escalated"/>
    <x v="5"/>
    <m/>
    <x v="2"/>
  </r>
  <r>
    <s v="T145"/>
    <x v="144"/>
    <s v="Billing"/>
    <s v="Medium"/>
    <s v="Closed"/>
    <x v="3"/>
    <n v="8"/>
    <x v="1"/>
  </r>
  <r>
    <s v="T146"/>
    <x v="145"/>
    <s v="Billing"/>
    <s v="Medium"/>
    <s v="Open"/>
    <x v="7"/>
    <m/>
    <x v="2"/>
  </r>
  <r>
    <s v="T147"/>
    <x v="146"/>
    <s v="AccountAccess"/>
    <s v="High"/>
    <s v="Pending"/>
    <x v="2"/>
    <m/>
    <x v="2"/>
  </r>
  <r>
    <s v="T148"/>
    <x v="147"/>
    <s v="AccountAccess"/>
    <s v="High"/>
    <s v="Escalated"/>
    <x v="6"/>
    <m/>
    <x v="2"/>
  </r>
  <r>
    <s v="T149"/>
    <x v="148"/>
    <s v="AccountAccess"/>
    <s v="High"/>
    <s v="Pending"/>
    <x v="4"/>
    <m/>
    <x v="2"/>
  </r>
  <r>
    <s v="T150"/>
    <x v="149"/>
    <s v="AccountAccess"/>
    <s v="High"/>
    <s v="Open"/>
    <x v="3"/>
    <m/>
    <x v="2"/>
  </r>
  <r>
    <s v="T151"/>
    <x v="150"/>
    <s v="LoginIssues"/>
    <s v="High"/>
    <s v="Pending"/>
    <x v="6"/>
    <m/>
    <x v="2"/>
  </r>
  <r>
    <s v="T152"/>
    <x v="151"/>
    <s v="AccountAccess"/>
    <s v="High"/>
    <s v="Pending"/>
    <x v="5"/>
    <m/>
    <x v="2"/>
  </r>
  <r>
    <s v="T153"/>
    <x v="152"/>
    <s v="LoginIssues"/>
    <s v="High"/>
    <s v="Closed"/>
    <x v="6"/>
    <n v="15"/>
    <x v="1"/>
  </r>
  <r>
    <s v="T154"/>
    <x v="153"/>
    <s v="Technical"/>
    <s v="Medium"/>
    <s v="Closed"/>
    <x v="0"/>
    <n v="36"/>
    <x v="0"/>
  </r>
  <r>
    <s v="T155"/>
    <x v="154"/>
    <s v="LoginIssues"/>
    <s v="Medium"/>
    <s v="Closed"/>
    <x v="3"/>
    <n v="30"/>
    <x v="3"/>
  </r>
  <r>
    <s v="T156"/>
    <x v="155"/>
    <s v="Technical"/>
    <s v="High"/>
    <s v="Pending"/>
    <x v="5"/>
    <m/>
    <x v="2"/>
  </r>
  <r>
    <s v="T157"/>
    <x v="156"/>
    <s v="RefundRequest"/>
    <s v="Medium"/>
    <s v="Open"/>
    <x v="6"/>
    <m/>
    <x v="2"/>
  </r>
  <r>
    <s v="T158"/>
    <x v="157"/>
    <s v="Billing"/>
    <s v="Medium"/>
    <s v="Closed"/>
    <x v="5"/>
    <n v="3"/>
    <x v="0"/>
  </r>
  <r>
    <s v="T159"/>
    <x v="158"/>
    <s v="Technical"/>
    <s v="High"/>
    <s v="Closed"/>
    <x v="6"/>
    <n v="45"/>
    <x v="1"/>
  </r>
  <r>
    <s v="T160"/>
    <x v="159"/>
    <s v="Technical"/>
    <s v="Medium"/>
    <s v="Closed"/>
    <x v="1"/>
    <n v="14"/>
    <x v="0"/>
  </r>
  <r>
    <s v="T161"/>
    <x v="160"/>
    <s v="AccountAccess"/>
    <s v="High"/>
    <s v="Open"/>
    <x v="2"/>
    <m/>
    <x v="2"/>
  </r>
  <r>
    <s v="T162"/>
    <x v="161"/>
    <s v="LoginIssues"/>
    <s v="Medium"/>
    <s v="Open"/>
    <x v="0"/>
    <m/>
    <x v="2"/>
  </r>
  <r>
    <s v="T163"/>
    <x v="162"/>
    <s v="RefundRequest"/>
    <s v="Medium"/>
    <s v="Closed"/>
    <x v="1"/>
    <n v="15"/>
    <x v="1"/>
  </r>
  <r>
    <s v="T164"/>
    <x v="163"/>
    <s v="LoginIssues"/>
    <s v="Medium"/>
    <s v="Closed"/>
    <x v="1"/>
    <n v="24"/>
    <x v="0"/>
  </r>
  <r>
    <s v="T165"/>
    <x v="164"/>
    <s v="Billing"/>
    <s v="Medium"/>
    <s v="Closed"/>
    <x v="3"/>
    <n v="7"/>
    <x v="0"/>
  </r>
  <r>
    <s v="T166"/>
    <x v="165"/>
    <s v="Technical"/>
    <s v="High"/>
    <s v="Escalated"/>
    <x v="7"/>
    <m/>
    <x v="2"/>
  </r>
  <r>
    <s v="T167"/>
    <x v="166"/>
    <s v="Billing"/>
    <s v="Medium"/>
    <s v="Open"/>
    <x v="2"/>
    <m/>
    <x v="2"/>
  </r>
  <r>
    <s v="T168"/>
    <x v="167"/>
    <s v="LoginIssues"/>
    <s v="Medium"/>
    <s v="Escalated"/>
    <x v="5"/>
    <m/>
    <x v="2"/>
  </r>
  <r>
    <s v="T169"/>
    <x v="168"/>
    <s v="LoginIssues"/>
    <s v="High"/>
    <s v="Open"/>
    <x v="4"/>
    <m/>
    <x v="2"/>
  </r>
  <r>
    <s v="T170"/>
    <x v="169"/>
    <s v="LoginIssues"/>
    <s v="High"/>
    <s v="Escalated"/>
    <x v="7"/>
    <m/>
    <x v="2"/>
  </r>
  <r>
    <s v="T171"/>
    <x v="170"/>
    <s v="Billing"/>
    <s v="Medium"/>
    <s v="Closed"/>
    <x v="0"/>
    <n v="5"/>
    <x v="3"/>
  </r>
  <r>
    <s v="T172"/>
    <x v="171"/>
    <s v="RefundRequest"/>
    <s v="Medium"/>
    <s v="Open"/>
    <x v="6"/>
    <m/>
    <x v="2"/>
  </r>
  <r>
    <s v="T173"/>
    <x v="172"/>
    <s v="LoginIssues"/>
    <s v="High"/>
    <s v="Open"/>
    <x v="1"/>
    <m/>
    <x v="2"/>
  </r>
  <r>
    <s v="T174"/>
    <x v="173"/>
    <s v="LoginIssues"/>
    <s v="High"/>
    <s v="Closed"/>
    <x v="4"/>
    <n v="31"/>
    <x v="0"/>
  </r>
  <r>
    <s v="T175"/>
    <x v="174"/>
    <s v="LoginIssues"/>
    <s v="Medium"/>
    <s v="Escalated"/>
    <x v="6"/>
    <m/>
    <x v="2"/>
  </r>
  <r>
    <s v="T176"/>
    <x v="175"/>
    <s v="Technical"/>
    <s v="Medium"/>
    <s v="Open"/>
    <x v="0"/>
    <m/>
    <x v="2"/>
  </r>
  <r>
    <s v="T177"/>
    <x v="176"/>
    <s v="Technical"/>
    <s v="High"/>
    <s v="Pending"/>
    <x v="2"/>
    <m/>
    <x v="2"/>
  </r>
  <r>
    <s v="T178"/>
    <x v="177"/>
    <s v="Billing"/>
    <s v="Medium"/>
    <s v="Escalated"/>
    <x v="6"/>
    <m/>
    <x v="2"/>
  </r>
  <r>
    <s v="T179"/>
    <x v="178"/>
    <s v="Technical"/>
    <s v="High"/>
    <s v="Closed"/>
    <x v="5"/>
    <n v="47"/>
    <x v="0"/>
  </r>
  <r>
    <s v="T180"/>
    <x v="179"/>
    <s v="Technical"/>
    <s v="Medium"/>
    <s v="Closed"/>
    <x v="0"/>
    <n v="18"/>
    <x v="3"/>
  </r>
  <r>
    <s v="T181"/>
    <x v="180"/>
    <s v="Technical"/>
    <s v="Medium"/>
    <s v="Pending"/>
    <x v="1"/>
    <m/>
    <x v="2"/>
  </r>
  <r>
    <s v="T182"/>
    <x v="181"/>
    <s v="RefundRequest"/>
    <s v="Medium"/>
    <s v="Closed"/>
    <x v="0"/>
    <n v="15"/>
    <x v="3"/>
  </r>
  <r>
    <s v="T183"/>
    <x v="182"/>
    <s v="Technical"/>
    <s v="High"/>
    <s v="Open"/>
    <x v="4"/>
    <m/>
    <x v="2"/>
  </r>
  <r>
    <s v="T184"/>
    <x v="183"/>
    <s v="LoginIssues"/>
    <s v="Medium"/>
    <s v="Escalated"/>
    <x v="5"/>
    <m/>
    <x v="2"/>
  </r>
  <r>
    <s v="T185"/>
    <x v="184"/>
    <s v="Technical"/>
    <s v="High"/>
    <s v="Closed"/>
    <x v="6"/>
    <n v="35"/>
    <x v="1"/>
  </r>
  <r>
    <s v="T186"/>
    <x v="185"/>
    <s v="Billing"/>
    <s v="Medium"/>
    <s v="Open"/>
    <x v="1"/>
    <m/>
    <x v="2"/>
  </r>
  <r>
    <s v="T187"/>
    <x v="186"/>
    <s v="LoginIssues"/>
    <s v="Medium"/>
    <s v="Open"/>
    <x v="0"/>
    <m/>
    <x v="2"/>
  </r>
  <r>
    <s v="T188"/>
    <x v="187"/>
    <s v="Technical"/>
    <s v="Medium"/>
    <s v="Escalated"/>
    <x v="5"/>
    <m/>
    <x v="2"/>
  </r>
  <r>
    <s v="T189"/>
    <x v="188"/>
    <s v="AccountAccess"/>
    <s v="High"/>
    <s v="Closed"/>
    <x v="5"/>
    <n v="6"/>
    <x v="1"/>
  </r>
  <r>
    <s v="T190"/>
    <x v="189"/>
    <s v="Technical"/>
    <s v="Medium"/>
    <s v="Open"/>
    <x v="4"/>
    <m/>
    <x v="2"/>
  </r>
  <r>
    <s v="T191"/>
    <x v="190"/>
    <s v="Billing"/>
    <s v="Medium"/>
    <s v="Closed"/>
    <x v="6"/>
    <n v="6"/>
    <x v="0"/>
  </r>
  <r>
    <s v="T192"/>
    <x v="191"/>
    <s v="Technical"/>
    <s v="High"/>
    <s v="Closed"/>
    <x v="5"/>
    <n v="40"/>
    <x v="1"/>
  </r>
  <r>
    <s v="T193"/>
    <x v="192"/>
    <s v="RefundRequest"/>
    <s v="Medium"/>
    <s v="Open"/>
    <x v="2"/>
    <m/>
    <x v="2"/>
  </r>
  <r>
    <s v="T194"/>
    <x v="193"/>
    <s v="Billing"/>
    <s v="Medium"/>
    <s v="Open"/>
    <x v="5"/>
    <m/>
    <x v="2"/>
  </r>
  <r>
    <s v="T195"/>
    <x v="194"/>
    <s v="Billing"/>
    <s v="Medium"/>
    <s v="Pending"/>
    <x v="4"/>
    <m/>
    <x v="2"/>
  </r>
  <r>
    <s v="T196"/>
    <x v="195"/>
    <s v="RefundRequest"/>
    <s v="Medium"/>
    <s v="Open"/>
    <x v="2"/>
    <m/>
    <x v="2"/>
  </r>
  <r>
    <s v="T197"/>
    <x v="196"/>
    <s v="Technical"/>
    <s v="High"/>
    <s v="Open"/>
    <x v="7"/>
    <m/>
    <x v="2"/>
  </r>
  <r>
    <s v="T198"/>
    <x v="197"/>
    <s v="Billing"/>
    <s v="Medium"/>
    <s v="Escalated"/>
    <x v="7"/>
    <m/>
    <x v="2"/>
  </r>
  <r>
    <s v="T199"/>
    <x v="198"/>
    <s v="Technical"/>
    <s v="High"/>
    <s v="Closed"/>
    <x v="4"/>
    <n v="14"/>
    <x v="0"/>
  </r>
  <r>
    <s v="T200"/>
    <x v="199"/>
    <s v="Billing"/>
    <s v="Medium"/>
    <s v="Open"/>
    <x v="6"/>
    <m/>
    <x v="2"/>
  </r>
  <r>
    <s v="T201"/>
    <x v="200"/>
    <s v="Billing"/>
    <s v="Medium"/>
    <s v="Open"/>
    <x v="4"/>
    <m/>
    <x v="2"/>
  </r>
  <r>
    <s v="T202"/>
    <x v="201"/>
    <s v="Technical"/>
    <s v="Medium"/>
    <s v="Escalated"/>
    <x v="6"/>
    <m/>
    <x v="2"/>
  </r>
  <r>
    <s v="T203"/>
    <x v="202"/>
    <s v="RefundRequest"/>
    <s v="Medium"/>
    <s v="Escalated"/>
    <x v="2"/>
    <m/>
    <x v="2"/>
  </r>
  <r>
    <s v="T204"/>
    <x v="203"/>
    <s v="Billing"/>
    <s v="Medium"/>
    <s v="Closed"/>
    <x v="7"/>
    <n v="4"/>
    <x v="3"/>
  </r>
  <r>
    <s v="T205"/>
    <x v="204"/>
    <s v="Billing"/>
    <s v="Medium"/>
    <s v="Open"/>
    <x v="1"/>
    <m/>
    <x v="2"/>
  </r>
  <r>
    <s v="T206"/>
    <x v="205"/>
    <s v="AccountAccess"/>
    <s v="High"/>
    <s v="Escalated"/>
    <x v="0"/>
    <m/>
    <x v="2"/>
  </r>
  <r>
    <s v="T207"/>
    <x v="206"/>
    <s v="Billing"/>
    <s v="Medium"/>
    <s v="Open"/>
    <x v="6"/>
    <m/>
    <x v="2"/>
  </r>
  <r>
    <s v="T208"/>
    <x v="207"/>
    <s v="RefundRequest"/>
    <s v="Medium"/>
    <s v="Open"/>
    <x v="6"/>
    <m/>
    <x v="2"/>
  </r>
  <r>
    <s v="T209"/>
    <x v="208"/>
    <s v="RefundRequest"/>
    <s v="Medium"/>
    <s v="Open"/>
    <x v="7"/>
    <m/>
    <x v="2"/>
  </r>
  <r>
    <s v="T210"/>
    <x v="209"/>
    <s v="Billing"/>
    <s v="Medium"/>
    <s v="Pending"/>
    <x v="1"/>
    <m/>
    <x v="2"/>
  </r>
  <r>
    <s v="T211"/>
    <x v="210"/>
    <s v="AccountAccess"/>
    <s v="High"/>
    <s v="Closed"/>
    <x v="0"/>
    <n v="5"/>
    <x v="0"/>
  </r>
  <r>
    <s v="T212"/>
    <x v="211"/>
    <s v="Technical"/>
    <s v="High"/>
    <s v="Open"/>
    <x v="4"/>
    <m/>
    <x v="2"/>
  </r>
  <r>
    <s v="T213"/>
    <x v="212"/>
    <s v="Technical"/>
    <s v="Medium"/>
    <s v="Open"/>
    <x v="0"/>
    <m/>
    <x v="2"/>
  </r>
  <r>
    <s v="T214"/>
    <x v="213"/>
    <s v="AccountAccess"/>
    <s v="High"/>
    <s v="Escalated"/>
    <x v="3"/>
    <m/>
    <x v="2"/>
  </r>
  <r>
    <s v="T215"/>
    <x v="214"/>
    <s v="LoginIssues"/>
    <s v="High"/>
    <s v="Pending"/>
    <x v="0"/>
    <m/>
    <x v="2"/>
  </r>
  <r>
    <s v="T216"/>
    <x v="215"/>
    <s v="LoginIssues"/>
    <s v="High"/>
    <s v="Escalated"/>
    <x v="4"/>
    <m/>
    <x v="2"/>
  </r>
  <r>
    <s v="T217"/>
    <x v="216"/>
    <s v="LoginIssues"/>
    <s v="Medium"/>
    <s v="Escalated"/>
    <x v="4"/>
    <m/>
    <x v="2"/>
  </r>
  <r>
    <s v="T218"/>
    <x v="217"/>
    <s v="Technical"/>
    <s v="Medium"/>
    <s v="Open"/>
    <x v="5"/>
    <m/>
    <x v="2"/>
  </r>
  <r>
    <s v="T219"/>
    <x v="218"/>
    <s v="Billing"/>
    <s v="Medium"/>
    <s v="Escalated"/>
    <x v="1"/>
    <m/>
    <x v="2"/>
  </r>
  <r>
    <s v="T220"/>
    <x v="219"/>
    <s v="LoginIssues"/>
    <s v="Medium"/>
    <s v="Open"/>
    <x v="4"/>
    <m/>
    <x v="2"/>
  </r>
  <r>
    <s v="T221"/>
    <x v="220"/>
    <s v="Billing"/>
    <s v="Medium"/>
    <s v="Pending"/>
    <x v="3"/>
    <m/>
    <x v="2"/>
  </r>
  <r>
    <s v="T222"/>
    <x v="221"/>
    <s v="AccountAccess"/>
    <s v="High"/>
    <s v="Open"/>
    <x v="4"/>
    <m/>
    <x v="2"/>
  </r>
  <r>
    <s v="T223"/>
    <x v="222"/>
    <s v="Billing"/>
    <s v="Medium"/>
    <s v="Closed"/>
    <x v="2"/>
    <n v="4"/>
    <x v="1"/>
  </r>
  <r>
    <s v="T224"/>
    <x v="223"/>
    <s v="LoginIssues"/>
    <s v="Medium"/>
    <s v="Escalated"/>
    <x v="4"/>
    <m/>
    <x v="2"/>
  </r>
  <r>
    <s v="T225"/>
    <x v="224"/>
    <s v="Billing"/>
    <s v="Medium"/>
    <s v="Escalated"/>
    <x v="4"/>
    <m/>
    <x v="2"/>
  </r>
  <r>
    <s v="T226"/>
    <x v="225"/>
    <s v="Technical"/>
    <s v="High"/>
    <s v="Closed"/>
    <x v="7"/>
    <n v="15"/>
    <x v="1"/>
  </r>
  <r>
    <s v="T227"/>
    <x v="226"/>
    <s v="Billing"/>
    <s v="Medium"/>
    <s v="Pending"/>
    <x v="0"/>
    <m/>
    <x v="2"/>
  </r>
  <r>
    <s v="T228"/>
    <x v="227"/>
    <s v="Billing"/>
    <s v="Medium"/>
    <s v="Closed"/>
    <x v="7"/>
    <n v="4"/>
    <x v="3"/>
  </r>
  <r>
    <s v="T229"/>
    <x v="228"/>
    <s v="LoginIssues"/>
    <s v="High"/>
    <s v="Open"/>
    <x v="2"/>
    <m/>
    <x v="2"/>
  </r>
  <r>
    <s v="T230"/>
    <x v="229"/>
    <s v="RefundRequest"/>
    <s v="Medium"/>
    <s v="Open"/>
    <x v="6"/>
    <m/>
    <x v="2"/>
  </r>
  <r>
    <s v="T231"/>
    <x v="230"/>
    <s v="AccountAccess"/>
    <s v="High"/>
    <s v="Escalated"/>
    <x v="3"/>
    <m/>
    <x v="2"/>
  </r>
  <r>
    <s v="T232"/>
    <x v="231"/>
    <s v="Technical"/>
    <s v="Medium"/>
    <s v="Pending"/>
    <x v="4"/>
    <m/>
    <x v="2"/>
  </r>
  <r>
    <s v="T233"/>
    <x v="232"/>
    <s v="Billing"/>
    <s v="Medium"/>
    <s v="Escalated"/>
    <x v="0"/>
    <m/>
    <x v="2"/>
  </r>
  <r>
    <s v="T234"/>
    <x v="233"/>
    <s v="AccountAccess"/>
    <s v="High"/>
    <s v="Pending"/>
    <x v="4"/>
    <m/>
    <x v="2"/>
  </r>
  <r>
    <s v="T235"/>
    <x v="234"/>
    <s v="Technical"/>
    <s v="Medium"/>
    <s v="Closed"/>
    <x v="4"/>
    <n v="38"/>
    <x v="0"/>
  </r>
  <r>
    <s v="T236"/>
    <x v="235"/>
    <s v="LoginIssues"/>
    <s v="High"/>
    <s v="Pending"/>
    <x v="3"/>
    <m/>
    <x v="2"/>
  </r>
  <r>
    <s v="T237"/>
    <x v="236"/>
    <s v="LoginIssues"/>
    <s v="High"/>
    <s v="Closed"/>
    <x v="1"/>
    <n v="34"/>
    <x v="3"/>
  </r>
  <r>
    <s v="T238"/>
    <x v="237"/>
    <s v="Technical"/>
    <s v="High"/>
    <s v="Escalated"/>
    <x v="5"/>
    <m/>
    <x v="2"/>
  </r>
  <r>
    <s v="T239"/>
    <x v="238"/>
    <s v="RefundRequest"/>
    <s v="Medium"/>
    <s v="Closed"/>
    <x v="5"/>
    <n v="9"/>
    <x v="3"/>
  </r>
  <r>
    <s v="T240"/>
    <x v="239"/>
    <s v="AccountAccess"/>
    <s v="High"/>
    <s v="Open"/>
    <x v="7"/>
    <m/>
    <x v="2"/>
  </r>
  <r>
    <s v="T241"/>
    <x v="240"/>
    <s v="Billing"/>
    <s v="Medium"/>
    <s v="Closed"/>
    <x v="0"/>
    <n v="7"/>
    <x v="3"/>
  </r>
  <r>
    <s v="T242"/>
    <x v="241"/>
    <s v="RefundRequest"/>
    <s v="Medium"/>
    <s v="Open"/>
    <x v="3"/>
    <m/>
    <x v="2"/>
  </r>
  <r>
    <s v="T243"/>
    <x v="242"/>
    <s v="RefundRequest"/>
    <s v="Medium"/>
    <s v="Pending"/>
    <x v="5"/>
    <m/>
    <x v="2"/>
  </r>
  <r>
    <s v="T244"/>
    <x v="243"/>
    <s v="RefundRequest"/>
    <s v="Medium"/>
    <s v="Closed"/>
    <x v="3"/>
    <n v="10"/>
    <x v="3"/>
  </r>
  <r>
    <s v="T245"/>
    <x v="244"/>
    <s v="AccountAccess"/>
    <s v="High"/>
    <s v="Escalated"/>
    <x v="5"/>
    <m/>
    <x v="2"/>
  </r>
  <r>
    <s v="T246"/>
    <x v="245"/>
    <s v="RefundRequest"/>
    <s v="Medium"/>
    <s v="Closed"/>
    <x v="2"/>
    <n v="14"/>
    <x v="0"/>
  </r>
  <r>
    <s v="T247"/>
    <x v="246"/>
    <s v="Billing"/>
    <s v="Medium"/>
    <s v="Closed"/>
    <x v="7"/>
    <n v="7"/>
    <x v="3"/>
  </r>
  <r>
    <s v="T248"/>
    <x v="247"/>
    <s v="RefundRequest"/>
    <s v="Medium"/>
    <s v="Escalated"/>
    <x v="4"/>
    <m/>
    <x v="2"/>
  </r>
  <r>
    <s v="T249"/>
    <x v="248"/>
    <s v="Billing"/>
    <s v="Medium"/>
    <s v="Open"/>
    <x v="0"/>
    <m/>
    <x v="2"/>
  </r>
  <r>
    <s v="T250"/>
    <x v="249"/>
    <s v="LoginIssues"/>
    <s v="High"/>
    <s v="Open"/>
    <x v="6"/>
    <m/>
    <x v="2"/>
  </r>
  <r>
    <s v="T251"/>
    <x v="250"/>
    <s v="Technical"/>
    <s v="Medium"/>
    <s v="Open"/>
    <x v="0"/>
    <m/>
    <x v="2"/>
  </r>
  <r>
    <s v="T252"/>
    <x v="251"/>
    <s v="Billing"/>
    <s v="Medium"/>
    <s v="Closed"/>
    <x v="3"/>
    <n v="6"/>
    <x v="0"/>
  </r>
  <r>
    <s v="T253"/>
    <x v="252"/>
    <s v="Billing"/>
    <s v="Medium"/>
    <s v="Open"/>
    <x v="6"/>
    <m/>
    <x v="2"/>
  </r>
  <r>
    <s v="T254"/>
    <x v="253"/>
    <s v="Billing"/>
    <s v="Medium"/>
    <s v="Escalated"/>
    <x v="6"/>
    <m/>
    <x v="2"/>
  </r>
  <r>
    <s v="T255"/>
    <x v="254"/>
    <s v="Billing"/>
    <s v="Medium"/>
    <s v="Open"/>
    <x v="0"/>
    <m/>
    <x v="2"/>
  </r>
  <r>
    <s v="T256"/>
    <x v="255"/>
    <s v="RefundRequest"/>
    <s v="Medium"/>
    <s v="Closed"/>
    <x v="2"/>
    <n v="5"/>
    <x v="0"/>
  </r>
  <r>
    <s v="T257"/>
    <x v="256"/>
    <s v="LoginIssues"/>
    <s v="Medium"/>
    <s v="Pending"/>
    <x v="3"/>
    <m/>
    <x v="2"/>
  </r>
  <r>
    <s v="T258"/>
    <x v="257"/>
    <s v="LoginIssues"/>
    <s v="Medium"/>
    <s v="Escalated"/>
    <x v="7"/>
    <m/>
    <x v="2"/>
  </r>
  <r>
    <s v="T259"/>
    <x v="258"/>
    <s v="Billing"/>
    <s v="Medium"/>
    <s v="Pending"/>
    <x v="7"/>
    <m/>
    <x v="2"/>
  </r>
  <r>
    <s v="T260"/>
    <x v="259"/>
    <s v="AccountAccess"/>
    <s v="High"/>
    <s v="Closed"/>
    <x v="4"/>
    <n v="5"/>
    <x v="3"/>
  </r>
  <r>
    <s v="T261"/>
    <x v="260"/>
    <s v="Technical"/>
    <s v="High"/>
    <s v="Open"/>
    <x v="0"/>
    <m/>
    <x v="2"/>
  </r>
  <r>
    <s v="T262"/>
    <x v="261"/>
    <s v="Billing"/>
    <s v="Medium"/>
    <s v="Closed"/>
    <x v="1"/>
    <n v="3"/>
    <x v="0"/>
  </r>
  <r>
    <s v="T263"/>
    <x v="262"/>
    <s v="LoginIssues"/>
    <s v="Medium"/>
    <s v="Closed"/>
    <x v="4"/>
    <n v="41"/>
    <x v="0"/>
  </r>
  <r>
    <s v="T264"/>
    <x v="263"/>
    <s v="Billing"/>
    <s v="Medium"/>
    <s v="Escalated"/>
    <x v="4"/>
    <m/>
    <x v="2"/>
  </r>
  <r>
    <s v="T265"/>
    <x v="264"/>
    <s v="AccountAccess"/>
    <s v="High"/>
    <s v="Open"/>
    <x v="2"/>
    <m/>
    <x v="2"/>
  </r>
  <r>
    <s v="T266"/>
    <x v="265"/>
    <s v="Billing"/>
    <s v="Medium"/>
    <s v="Closed"/>
    <x v="1"/>
    <n v="4"/>
    <x v="0"/>
  </r>
  <r>
    <s v="T267"/>
    <x v="266"/>
    <s v="Technical"/>
    <s v="High"/>
    <s v="Open"/>
    <x v="3"/>
    <m/>
    <x v="2"/>
  </r>
  <r>
    <s v="T268"/>
    <x v="267"/>
    <s v="Technical"/>
    <s v="Medium"/>
    <s v="Closed"/>
    <x v="5"/>
    <n v="26"/>
    <x v="0"/>
  </r>
  <r>
    <s v="T269"/>
    <x v="268"/>
    <s v="Billing"/>
    <s v="Medium"/>
    <s v="Pending"/>
    <x v="5"/>
    <m/>
    <x v="2"/>
  </r>
  <r>
    <s v="T270"/>
    <x v="269"/>
    <s v="Technical"/>
    <s v="Medium"/>
    <s v="Closed"/>
    <x v="3"/>
    <n v="33"/>
    <x v="0"/>
  </r>
  <r>
    <s v="T271"/>
    <x v="270"/>
    <s v="Billing"/>
    <s v="Medium"/>
    <s v="Open"/>
    <x v="5"/>
    <m/>
    <x v="2"/>
  </r>
  <r>
    <s v="T272"/>
    <x v="271"/>
    <s v="AccountAccess"/>
    <s v="High"/>
    <s v="Open"/>
    <x v="5"/>
    <m/>
    <x v="2"/>
  </r>
  <r>
    <s v="T273"/>
    <x v="272"/>
    <s v="RefundRequest"/>
    <s v="Medium"/>
    <s v="Open"/>
    <x v="0"/>
    <m/>
    <x v="2"/>
  </r>
  <r>
    <s v="T274"/>
    <x v="273"/>
    <s v="Billing"/>
    <s v="Medium"/>
    <s v="Closed"/>
    <x v="1"/>
    <n v="4"/>
    <x v="3"/>
  </r>
  <r>
    <s v="T275"/>
    <x v="274"/>
    <s v="AccountAccess"/>
    <s v="High"/>
    <s v="Escalated"/>
    <x v="5"/>
    <m/>
    <x v="2"/>
  </r>
  <r>
    <s v="T276"/>
    <x v="275"/>
    <s v="RefundRequest"/>
    <s v="Medium"/>
    <s v="Open"/>
    <x v="5"/>
    <m/>
    <x v="2"/>
  </r>
  <r>
    <s v="T277"/>
    <x v="276"/>
    <s v="RefundRequest"/>
    <s v="Medium"/>
    <s v="Pending"/>
    <x v="7"/>
    <m/>
    <x v="2"/>
  </r>
  <r>
    <s v="T278"/>
    <x v="277"/>
    <s v="LoginIssues"/>
    <s v="Medium"/>
    <s v="Closed"/>
    <x v="6"/>
    <n v="47"/>
    <x v="3"/>
  </r>
  <r>
    <s v="T279"/>
    <x v="278"/>
    <s v="AccountAccess"/>
    <s v="High"/>
    <s v="Open"/>
    <x v="7"/>
    <m/>
    <x v="2"/>
  </r>
  <r>
    <s v="T280"/>
    <x v="279"/>
    <s v="RefundRequest"/>
    <s v="Medium"/>
    <s v="Escalated"/>
    <x v="5"/>
    <m/>
    <x v="2"/>
  </r>
  <r>
    <s v="T281"/>
    <x v="280"/>
    <s v="Billing"/>
    <s v="Medium"/>
    <s v="Open"/>
    <x v="6"/>
    <m/>
    <x v="2"/>
  </r>
  <r>
    <s v="T282"/>
    <x v="281"/>
    <s v="AccountAccess"/>
    <s v="High"/>
    <s v="Open"/>
    <x v="0"/>
    <m/>
    <x v="2"/>
  </r>
  <r>
    <s v="T283"/>
    <x v="282"/>
    <s v="LoginIssues"/>
    <s v="Medium"/>
    <s v="Open"/>
    <x v="5"/>
    <m/>
    <x v="2"/>
  </r>
  <r>
    <s v="T284"/>
    <x v="283"/>
    <s v="Billing"/>
    <s v="Medium"/>
    <s v="Open"/>
    <x v="1"/>
    <m/>
    <x v="2"/>
  </r>
  <r>
    <s v="T285"/>
    <x v="284"/>
    <s v="AccountAccess"/>
    <s v="High"/>
    <s v="Closed"/>
    <x v="7"/>
    <n v="5"/>
    <x v="1"/>
  </r>
  <r>
    <s v="T286"/>
    <x v="285"/>
    <s v="LoginIssues"/>
    <s v="High"/>
    <s v="Closed"/>
    <x v="7"/>
    <n v="26"/>
    <x v="1"/>
  </r>
  <r>
    <s v="T287"/>
    <x v="286"/>
    <s v="Technical"/>
    <s v="Medium"/>
    <s v="Closed"/>
    <x v="0"/>
    <n v="12"/>
    <x v="1"/>
  </r>
  <r>
    <s v="T288"/>
    <x v="287"/>
    <s v="LoginIssues"/>
    <s v="Medium"/>
    <s v="Closed"/>
    <x v="7"/>
    <n v="21"/>
    <x v="0"/>
  </r>
  <r>
    <s v="T289"/>
    <x v="288"/>
    <s v="Billing"/>
    <s v="Medium"/>
    <s v="Closed"/>
    <x v="4"/>
    <n v="5"/>
    <x v="0"/>
  </r>
  <r>
    <s v="T290"/>
    <x v="289"/>
    <s v="LoginIssues"/>
    <s v="Medium"/>
    <s v="Pending"/>
    <x v="2"/>
    <m/>
    <x v="2"/>
  </r>
  <r>
    <s v="T291"/>
    <x v="290"/>
    <s v="LoginIssues"/>
    <s v="High"/>
    <s v="Escalated"/>
    <x v="5"/>
    <m/>
    <x v="2"/>
  </r>
  <r>
    <s v="T292"/>
    <x v="291"/>
    <s v="LoginIssues"/>
    <s v="High"/>
    <s v="Closed"/>
    <x v="4"/>
    <n v="34"/>
    <x v="1"/>
  </r>
  <r>
    <s v="T293"/>
    <x v="292"/>
    <s v="Billing"/>
    <s v="Medium"/>
    <s v="Pending"/>
    <x v="3"/>
    <m/>
    <x v="2"/>
  </r>
  <r>
    <s v="T294"/>
    <x v="293"/>
    <s v="Billing"/>
    <s v="Medium"/>
    <s v="Closed"/>
    <x v="1"/>
    <n v="5"/>
    <x v="3"/>
  </r>
  <r>
    <s v="T295"/>
    <x v="294"/>
    <s v="Billing"/>
    <s v="Medium"/>
    <s v="Open"/>
    <x v="1"/>
    <m/>
    <x v="2"/>
  </r>
  <r>
    <s v="T296"/>
    <x v="295"/>
    <s v="AccountAccess"/>
    <s v="High"/>
    <s v="Escalated"/>
    <x v="7"/>
    <m/>
    <x v="2"/>
  </r>
  <r>
    <s v="T297"/>
    <x v="296"/>
    <s v="Billing"/>
    <s v="Medium"/>
    <s v="Closed"/>
    <x v="6"/>
    <n v="6"/>
    <x v="0"/>
  </r>
  <r>
    <s v="T298"/>
    <x v="297"/>
    <s v="AccountAccess"/>
    <s v="High"/>
    <s v="Pending"/>
    <x v="4"/>
    <m/>
    <x v="2"/>
  </r>
  <r>
    <s v="T299"/>
    <x v="298"/>
    <s v="LoginIssues"/>
    <s v="Medium"/>
    <s v="Open"/>
    <x v="4"/>
    <m/>
    <x v="2"/>
  </r>
  <r>
    <s v="T300"/>
    <x v="299"/>
    <s v="Technical"/>
    <s v="Medium"/>
    <s v="Closed"/>
    <x v="0"/>
    <n v="31"/>
    <x v="1"/>
  </r>
  <r>
    <s v="T301"/>
    <x v="300"/>
    <s v="LoginIssues"/>
    <s v="High"/>
    <s v="Closed"/>
    <x v="1"/>
    <n v="32"/>
    <x v="0"/>
  </r>
  <r>
    <s v="T302"/>
    <x v="301"/>
    <s v="Technical"/>
    <s v="Medium"/>
    <s v="Closed"/>
    <x v="5"/>
    <n v="40"/>
    <x v="3"/>
  </r>
  <r>
    <s v="T303"/>
    <x v="302"/>
    <s v="Technical"/>
    <s v="High"/>
    <s v="Closed"/>
    <x v="4"/>
    <n v="44"/>
    <x v="3"/>
  </r>
  <r>
    <s v="T304"/>
    <x v="303"/>
    <s v="Technical"/>
    <s v="High"/>
    <s v="Closed"/>
    <x v="6"/>
    <n v="28"/>
    <x v="1"/>
  </r>
  <r>
    <s v="T305"/>
    <x v="304"/>
    <s v="Billing"/>
    <s v="Medium"/>
    <s v="Pending"/>
    <x v="6"/>
    <m/>
    <x v="2"/>
  </r>
  <r>
    <s v="T306"/>
    <x v="305"/>
    <s v="Billing"/>
    <s v="Medium"/>
    <s v="Open"/>
    <x v="7"/>
    <m/>
    <x v="2"/>
  </r>
  <r>
    <s v="T307"/>
    <x v="306"/>
    <s v="Technical"/>
    <s v="Medium"/>
    <s v="Closed"/>
    <x v="1"/>
    <n v="13"/>
    <x v="3"/>
  </r>
  <r>
    <s v="T308"/>
    <x v="307"/>
    <s v="AccountAccess"/>
    <s v="High"/>
    <s v="Closed"/>
    <x v="3"/>
    <n v="7"/>
    <x v="0"/>
  </r>
  <r>
    <s v="T309"/>
    <x v="308"/>
    <s v="AccountAccess"/>
    <s v="High"/>
    <s v="Pending"/>
    <x v="1"/>
    <m/>
    <x v="2"/>
  </r>
  <r>
    <s v="T310"/>
    <x v="309"/>
    <s v="RefundRequest"/>
    <s v="Medium"/>
    <s v="Pending"/>
    <x v="7"/>
    <m/>
    <x v="2"/>
  </r>
  <r>
    <s v="T311"/>
    <x v="310"/>
    <s v="Billing"/>
    <s v="Medium"/>
    <s v="Escalated"/>
    <x v="5"/>
    <m/>
    <x v="2"/>
  </r>
  <r>
    <s v="T312"/>
    <x v="311"/>
    <s v="AccountAccess"/>
    <s v="High"/>
    <s v="Open"/>
    <x v="5"/>
    <m/>
    <x v="2"/>
  </r>
  <r>
    <s v="T313"/>
    <x v="312"/>
    <s v="RefundRequest"/>
    <s v="Medium"/>
    <s v="Pending"/>
    <x v="3"/>
    <m/>
    <x v="2"/>
  </r>
  <r>
    <s v="T314"/>
    <x v="313"/>
    <s v="AccountAccess"/>
    <s v="High"/>
    <s v="Open"/>
    <x v="6"/>
    <m/>
    <x v="2"/>
  </r>
  <r>
    <s v="T315"/>
    <x v="314"/>
    <s v="LoginIssues"/>
    <s v="High"/>
    <s v="Open"/>
    <x v="1"/>
    <m/>
    <x v="2"/>
  </r>
  <r>
    <s v="T316"/>
    <x v="315"/>
    <s v="Billing"/>
    <s v="Medium"/>
    <s v="Pending"/>
    <x v="2"/>
    <m/>
    <x v="2"/>
  </r>
  <r>
    <s v="T317"/>
    <x v="316"/>
    <s v="LoginIssues"/>
    <s v="Medium"/>
    <s v="Pending"/>
    <x v="0"/>
    <m/>
    <x v="2"/>
  </r>
  <r>
    <s v="T318"/>
    <x v="317"/>
    <s v="RefundRequest"/>
    <s v="Medium"/>
    <s v="Pending"/>
    <x v="4"/>
    <m/>
    <x v="2"/>
  </r>
  <r>
    <s v="T319"/>
    <x v="318"/>
    <s v="LoginIssues"/>
    <s v="Medium"/>
    <s v="Closed"/>
    <x v="1"/>
    <n v="14"/>
    <x v="0"/>
  </r>
  <r>
    <s v="T320"/>
    <x v="319"/>
    <s v="AccountAccess"/>
    <s v="High"/>
    <s v="Closed"/>
    <x v="3"/>
    <n v="3"/>
    <x v="1"/>
  </r>
  <r>
    <s v="T321"/>
    <x v="320"/>
    <s v="LoginIssues"/>
    <s v="High"/>
    <s v="Escalated"/>
    <x v="5"/>
    <m/>
    <x v="2"/>
  </r>
  <r>
    <s v="T322"/>
    <x v="321"/>
    <s v="Billing"/>
    <s v="Medium"/>
    <s v="Escalated"/>
    <x v="5"/>
    <m/>
    <x v="2"/>
  </r>
  <r>
    <s v="T323"/>
    <x v="322"/>
    <s v="RefundRequest"/>
    <s v="Medium"/>
    <s v="Open"/>
    <x v="7"/>
    <m/>
    <x v="2"/>
  </r>
  <r>
    <s v="T324"/>
    <x v="323"/>
    <s v="Billing"/>
    <s v="Medium"/>
    <s v="Open"/>
    <x v="1"/>
    <m/>
    <x v="2"/>
  </r>
  <r>
    <s v="T325"/>
    <x v="324"/>
    <s v="Billing"/>
    <s v="Medium"/>
    <s v="Closed"/>
    <x v="7"/>
    <n v="5"/>
    <x v="1"/>
  </r>
  <r>
    <s v="T326"/>
    <x v="325"/>
    <s v="Billing"/>
    <s v="Medium"/>
    <s v="Open"/>
    <x v="7"/>
    <m/>
    <x v="2"/>
  </r>
  <r>
    <s v="T327"/>
    <x v="326"/>
    <s v="AccountAccess"/>
    <s v="High"/>
    <s v="Open"/>
    <x v="2"/>
    <m/>
    <x v="2"/>
  </r>
  <r>
    <s v="T328"/>
    <x v="327"/>
    <s v="Billing"/>
    <s v="Medium"/>
    <s v="Closed"/>
    <x v="3"/>
    <n v="5"/>
    <x v="3"/>
  </r>
  <r>
    <s v="T329"/>
    <x v="328"/>
    <s v="RefundRequest"/>
    <s v="Medium"/>
    <s v="Escalated"/>
    <x v="7"/>
    <m/>
    <x v="2"/>
  </r>
  <r>
    <s v="T330"/>
    <x v="329"/>
    <s v="LoginIssues"/>
    <s v="Medium"/>
    <s v="Open"/>
    <x v="0"/>
    <m/>
    <x v="2"/>
  </r>
  <r>
    <s v="T331"/>
    <x v="330"/>
    <s v="LoginIssues"/>
    <s v="Medium"/>
    <s v="Closed"/>
    <x v="1"/>
    <n v="12"/>
    <x v="3"/>
  </r>
  <r>
    <s v="T332"/>
    <x v="331"/>
    <s v="RefundRequest"/>
    <s v="Medium"/>
    <s v="Closed"/>
    <x v="3"/>
    <n v="5"/>
    <x v="0"/>
  </r>
  <r>
    <s v="T333"/>
    <x v="332"/>
    <s v="RefundRequest"/>
    <s v="Medium"/>
    <s v="Pending"/>
    <x v="1"/>
    <m/>
    <x v="2"/>
  </r>
  <r>
    <s v="T334"/>
    <x v="333"/>
    <s v="AccountAccess"/>
    <s v="High"/>
    <s v="Closed"/>
    <x v="1"/>
    <n v="8"/>
    <x v="1"/>
  </r>
  <r>
    <s v="T335"/>
    <x v="334"/>
    <s v="AccountAccess"/>
    <s v="High"/>
    <s v="Closed"/>
    <x v="1"/>
    <n v="4"/>
    <x v="3"/>
  </r>
  <r>
    <s v="T336"/>
    <x v="335"/>
    <s v="Technical"/>
    <s v="High"/>
    <s v="Closed"/>
    <x v="1"/>
    <n v="26"/>
    <x v="3"/>
  </r>
  <r>
    <s v="T337"/>
    <x v="336"/>
    <s v="Billing"/>
    <s v="Medium"/>
    <s v="Closed"/>
    <x v="7"/>
    <n v="5"/>
    <x v="1"/>
  </r>
  <r>
    <s v="T338"/>
    <x v="337"/>
    <s v="Billing"/>
    <s v="Medium"/>
    <s v="Pending"/>
    <x v="1"/>
    <m/>
    <x v="2"/>
  </r>
  <r>
    <s v="T339"/>
    <x v="338"/>
    <s v="Technical"/>
    <s v="High"/>
    <s v="Closed"/>
    <x v="7"/>
    <n v="45"/>
    <x v="1"/>
  </r>
  <r>
    <s v="T340"/>
    <x v="339"/>
    <s v="AccountAccess"/>
    <s v="High"/>
    <s v="Closed"/>
    <x v="7"/>
    <n v="2"/>
    <x v="3"/>
  </r>
  <r>
    <s v="T341"/>
    <x v="340"/>
    <s v="Technical"/>
    <s v="Medium"/>
    <s v="Open"/>
    <x v="6"/>
    <m/>
    <x v="2"/>
  </r>
  <r>
    <s v="T342"/>
    <x v="341"/>
    <s v="RefundRequest"/>
    <s v="Medium"/>
    <s v="Open"/>
    <x v="6"/>
    <m/>
    <x v="2"/>
  </r>
  <r>
    <s v="T343"/>
    <x v="342"/>
    <s v="AccountAccess"/>
    <s v="High"/>
    <s v="Escalated"/>
    <x v="5"/>
    <m/>
    <x v="2"/>
  </r>
  <r>
    <s v="T344"/>
    <x v="343"/>
    <s v="Technical"/>
    <s v="Medium"/>
    <s v="Closed"/>
    <x v="5"/>
    <n v="40"/>
    <x v="3"/>
  </r>
  <r>
    <s v="T345"/>
    <x v="344"/>
    <s v="Technical"/>
    <s v="Medium"/>
    <s v="Closed"/>
    <x v="1"/>
    <n v="35"/>
    <x v="3"/>
  </r>
  <r>
    <s v="T346"/>
    <x v="345"/>
    <s v="AccountAccess"/>
    <s v="High"/>
    <s v="Pending"/>
    <x v="6"/>
    <m/>
    <x v="2"/>
  </r>
  <r>
    <s v="T347"/>
    <x v="346"/>
    <s v="RefundRequest"/>
    <s v="Medium"/>
    <s v="Closed"/>
    <x v="3"/>
    <n v="9"/>
    <x v="3"/>
  </r>
  <r>
    <s v="T348"/>
    <x v="347"/>
    <s v="LoginIssues"/>
    <s v="Medium"/>
    <s v="Escalated"/>
    <x v="1"/>
    <m/>
    <x v="2"/>
  </r>
  <r>
    <s v="T349"/>
    <x v="348"/>
    <s v="RefundRequest"/>
    <s v="Medium"/>
    <s v="Open"/>
    <x v="7"/>
    <m/>
    <x v="2"/>
  </r>
  <r>
    <s v="T350"/>
    <x v="349"/>
    <s v="LoginIssues"/>
    <s v="Medium"/>
    <s v="Open"/>
    <x v="1"/>
    <m/>
    <x v="2"/>
  </r>
  <r>
    <s v="T351"/>
    <x v="350"/>
    <s v="RefundRequest"/>
    <s v="Medium"/>
    <s v="Escalated"/>
    <x v="3"/>
    <m/>
    <x v="2"/>
  </r>
  <r>
    <s v="T352"/>
    <x v="351"/>
    <s v="Billing"/>
    <s v="Medium"/>
    <s v="Open"/>
    <x v="0"/>
    <m/>
    <x v="2"/>
  </r>
  <r>
    <s v="T353"/>
    <x v="352"/>
    <s v="Billing"/>
    <s v="Medium"/>
    <s v="Closed"/>
    <x v="1"/>
    <n v="4"/>
    <x v="3"/>
  </r>
  <r>
    <s v="T354"/>
    <x v="353"/>
    <s v="RefundRequest"/>
    <s v="Medium"/>
    <s v="Open"/>
    <x v="5"/>
    <m/>
    <x v="2"/>
  </r>
  <r>
    <s v="T355"/>
    <x v="354"/>
    <s v="AccountAccess"/>
    <s v="High"/>
    <s v="Open"/>
    <x v="1"/>
    <m/>
    <x v="2"/>
  </r>
  <r>
    <s v="T356"/>
    <x v="355"/>
    <s v="Technical"/>
    <s v="High"/>
    <s v="Closed"/>
    <x v="1"/>
    <n v="25"/>
    <x v="0"/>
  </r>
  <r>
    <s v="T357"/>
    <x v="356"/>
    <s v="LoginIssues"/>
    <s v="Medium"/>
    <s v="Open"/>
    <x v="7"/>
    <m/>
    <x v="2"/>
  </r>
  <r>
    <s v="T358"/>
    <x v="357"/>
    <s v="AccountAccess"/>
    <s v="High"/>
    <s v="Closed"/>
    <x v="6"/>
    <n v="7"/>
    <x v="0"/>
  </r>
  <r>
    <s v="T359"/>
    <x v="358"/>
    <s v="RefundRequest"/>
    <s v="Medium"/>
    <s v="Closed"/>
    <x v="7"/>
    <n v="5"/>
    <x v="0"/>
  </r>
  <r>
    <s v="T360"/>
    <x v="359"/>
    <s v="LoginIssues"/>
    <s v="Medium"/>
    <s v="Pending"/>
    <x v="5"/>
    <m/>
    <x v="2"/>
  </r>
  <r>
    <s v="T361"/>
    <x v="360"/>
    <s v="Billing"/>
    <s v="Medium"/>
    <s v="Open"/>
    <x v="6"/>
    <m/>
    <x v="2"/>
  </r>
  <r>
    <s v="T362"/>
    <x v="361"/>
    <s v="Technical"/>
    <s v="Medium"/>
    <s v="Escalated"/>
    <x v="6"/>
    <m/>
    <x v="2"/>
  </r>
  <r>
    <s v="T363"/>
    <x v="362"/>
    <s v="Technical"/>
    <s v="Medium"/>
    <s v="Closed"/>
    <x v="1"/>
    <n v="41"/>
    <x v="3"/>
  </r>
  <r>
    <s v="T364"/>
    <x v="363"/>
    <s v="AccountAccess"/>
    <s v="High"/>
    <s v="Closed"/>
    <x v="0"/>
    <n v="5"/>
    <x v="0"/>
  </r>
  <r>
    <s v="T365"/>
    <x v="364"/>
    <s v="AccountAccess"/>
    <s v="High"/>
    <s v="Open"/>
    <x v="3"/>
    <m/>
    <x v="2"/>
  </r>
  <r>
    <s v="T366"/>
    <x v="365"/>
    <s v="Technical"/>
    <s v="Medium"/>
    <s v="Open"/>
    <x v="2"/>
    <m/>
    <x v="2"/>
  </r>
  <r>
    <s v="T367"/>
    <x v="366"/>
    <s v="AccountAccess"/>
    <s v="High"/>
    <s v="Closed"/>
    <x v="2"/>
    <n v="3"/>
    <x v="3"/>
  </r>
  <r>
    <s v="T368"/>
    <x v="367"/>
    <s v="LoginIssues"/>
    <s v="High"/>
    <s v="Open"/>
    <x v="1"/>
    <m/>
    <x v="2"/>
  </r>
  <r>
    <s v="T369"/>
    <x v="368"/>
    <s v="Technical"/>
    <s v="High"/>
    <s v="Pending"/>
    <x v="3"/>
    <m/>
    <x v="2"/>
  </r>
  <r>
    <s v="T370"/>
    <x v="369"/>
    <s v="RefundRequest"/>
    <s v="Medium"/>
    <s v="Closed"/>
    <x v="7"/>
    <n v="11"/>
    <x v="1"/>
  </r>
  <r>
    <s v="T371"/>
    <x v="370"/>
    <s v="AccountAccess"/>
    <s v="High"/>
    <s v="Closed"/>
    <x v="2"/>
    <n v="2"/>
    <x v="0"/>
  </r>
  <r>
    <s v="T372"/>
    <x v="371"/>
    <s v="Technical"/>
    <s v="High"/>
    <s v="Escalated"/>
    <x v="3"/>
    <m/>
    <x v="2"/>
  </r>
  <r>
    <s v="T373"/>
    <x v="372"/>
    <s v="Technical"/>
    <s v="High"/>
    <s v="Open"/>
    <x v="2"/>
    <m/>
    <x v="2"/>
  </r>
  <r>
    <s v="T374"/>
    <x v="373"/>
    <s v="RefundRequest"/>
    <s v="Medium"/>
    <s v="Closed"/>
    <x v="3"/>
    <n v="12"/>
    <x v="3"/>
  </r>
  <r>
    <s v="T375"/>
    <x v="374"/>
    <s v="LoginIssues"/>
    <s v="Medium"/>
    <s v="Pending"/>
    <x v="1"/>
    <m/>
    <x v="2"/>
  </r>
  <r>
    <s v="T376"/>
    <x v="375"/>
    <s v="LoginIssues"/>
    <s v="Medium"/>
    <s v="Open"/>
    <x v="5"/>
    <m/>
    <x v="2"/>
  </r>
  <r>
    <s v="T377"/>
    <x v="376"/>
    <s v="Billing"/>
    <s v="Medium"/>
    <s v="Open"/>
    <x v="4"/>
    <m/>
    <x v="2"/>
  </r>
  <r>
    <s v="T378"/>
    <x v="377"/>
    <s v="RefundRequest"/>
    <s v="Medium"/>
    <s v="Pending"/>
    <x v="7"/>
    <m/>
    <x v="2"/>
  </r>
  <r>
    <s v="T379"/>
    <x v="378"/>
    <s v="Billing"/>
    <s v="Medium"/>
    <s v="Open"/>
    <x v="2"/>
    <m/>
    <x v="2"/>
  </r>
  <r>
    <s v="T380"/>
    <x v="379"/>
    <s v="Billing"/>
    <s v="Medium"/>
    <s v="Escalated"/>
    <x v="5"/>
    <m/>
    <x v="2"/>
  </r>
  <r>
    <s v="T381"/>
    <x v="380"/>
    <s v="Technical"/>
    <s v="Medium"/>
    <s v="Closed"/>
    <x v="5"/>
    <n v="42"/>
    <x v="0"/>
  </r>
  <r>
    <s v="T382"/>
    <x v="381"/>
    <s v="Billing"/>
    <s v="Medium"/>
    <s v="Open"/>
    <x v="2"/>
    <m/>
    <x v="2"/>
  </r>
  <r>
    <s v="T383"/>
    <x v="382"/>
    <s v="Billing"/>
    <s v="Medium"/>
    <s v="Open"/>
    <x v="0"/>
    <m/>
    <x v="2"/>
  </r>
  <r>
    <s v="T384"/>
    <x v="383"/>
    <s v="RefundRequest"/>
    <s v="Medium"/>
    <s v="Closed"/>
    <x v="0"/>
    <n v="7"/>
    <x v="0"/>
  </r>
  <r>
    <s v="T385"/>
    <x v="384"/>
    <s v="LoginIssues"/>
    <s v="Medium"/>
    <s v="Closed"/>
    <x v="6"/>
    <n v="44"/>
    <x v="3"/>
  </r>
  <r>
    <s v="T386"/>
    <x v="385"/>
    <s v="Billing"/>
    <s v="Medium"/>
    <s v="Escalated"/>
    <x v="7"/>
    <m/>
    <x v="2"/>
  </r>
  <r>
    <s v="T387"/>
    <x v="386"/>
    <s v="Billing"/>
    <s v="Medium"/>
    <s v="Pending"/>
    <x v="3"/>
    <m/>
    <x v="2"/>
  </r>
  <r>
    <s v="T388"/>
    <x v="387"/>
    <s v="Billing"/>
    <s v="Medium"/>
    <s v="Open"/>
    <x v="7"/>
    <m/>
    <x v="2"/>
  </r>
  <r>
    <s v="T389"/>
    <x v="388"/>
    <s v="RefundRequest"/>
    <s v="Medium"/>
    <s v="Escalated"/>
    <x v="1"/>
    <m/>
    <x v="2"/>
  </r>
  <r>
    <s v="T390"/>
    <x v="389"/>
    <s v="RefundRequest"/>
    <s v="Medium"/>
    <s v="Closed"/>
    <x v="7"/>
    <n v="14"/>
    <x v="0"/>
  </r>
  <r>
    <s v="T391"/>
    <x v="390"/>
    <s v="RefundRequest"/>
    <s v="Medium"/>
    <s v="Escalated"/>
    <x v="3"/>
    <m/>
    <x v="2"/>
  </r>
  <r>
    <s v="T392"/>
    <x v="391"/>
    <s v="LoginIssues"/>
    <s v="Medium"/>
    <s v="Closed"/>
    <x v="1"/>
    <n v="15"/>
    <x v="0"/>
  </r>
  <r>
    <s v="T393"/>
    <x v="392"/>
    <s v="LoginIssues"/>
    <s v="High"/>
    <s v="Pending"/>
    <x v="0"/>
    <m/>
    <x v="2"/>
  </r>
  <r>
    <s v="T394"/>
    <x v="393"/>
    <s v="RefundRequest"/>
    <s v="Medium"/>
    <s v="Closed"/>
    <x v="5"/>
    <n v="15"/>
    <x v="1"/>
  </r>
  <r>
    <s v="T395"/>
    <x v="394"/>
    <s v="AccountAccess"/>
    <s v="High"/>
    <s v="Closed"/>
    <x v="0"/>
    <n v="5"/>
    <x v="3"/>
  </r>
  <r>
    <s v="T396"/>
    <x v="395"/>
    <s v="Billing"/>
    <s v="Medium"/>
    <s v="Pending"/>
    <x v="3"/>
    <m/>
    <x v="2"/>
  </r>
  <r>
    <s v="T397"/>
    <x v="396"/>
    <s v="Technical"/>
    <s v="High"/>
    <s v="Open"/>
    <x v="3"/>
    <m/>
    <x v="2"/>
  </r>
  <r>
    <s v="T398"/>
    <x v="397"/>
    <s v="Billing"/>
    <s v="Medium"/>
    <s v="Closed"/>
    <x v="3"/>
    <n v="4"/>
    <x v="3"/>
  </r>
  <r>
    <s v="T399"/>
    <x v="398"/>
    <s v="Billing"/>
    <s v="Medium"/>
    <s v="Closed"/>
    <x v="4"/>
    <n v="8"/>
    <x v="0"/>
  </r>
  <r>
    <s v="T400"/>
    <x v="399"/>
    <s v="LoginIssues"/>
    <s v="Medium"/>
    <s v="Closed"/>
    <x v="2"/>
    <n v="27"/>
    <x v="1"/>
  </r>
  <r>
    <s v="T401"/>
    <x v="400"/>
    <s v="RefundRequest"/>
    <s v="Medium"/>
    <s v="Pending"/>
    <x v="1"/>
    <m/>
    <x v="2"/>
  </r>
  <r>
    <s v="T402"/>
    <x v="401"/>
    <s v="Technical"/>
    <s v="Medium"/>
    <s v="Open"/>
    <x v="0"/>
    <m/>
    <x v="2"/>
  </r>
  <r>
    <s v="T403"/>
    <x v="402"/>
    <s v="AccountAccess"/>
    <s v="High"/>
    <s v="Open"/>
    <x v="5"/>
    <m/>
    <x v="2"/>
  </r>
  <r>
    <s v="T404"/>
    <x v="403"/>
    <s v="Technical"/>
    <s v="Medium"/>
    <s v="Escalated"/>
    <x v="0"/>
    <m/>
    <x v="2"/>
  </r>
  <r>
    <s v="T405"/>
    <x v="404"/>
    <s v="LoginIssues"/>
    <s v="Medium"/>
    <s v="Pending"/>
    <x v="3"/>
    <m/>
    <x v="2"/>
  </r>
  <r>
    <s v="T406"/>
    <x v="405"/>
    <s v="Billing"/>
    <s v="Medium"/>
    <s v="Closed"/>
    <x v="6"/>
    <n v="8"/>
    <x v="3"/>
  </r>
  <r>
    <s v="T407"/>
    <x v="406"/>
    <s v="Billing"/>
    <s v="Medium"/>
    <s v="Escalated"/>
    <x v="2"/>
    <m/>
    <x v="2"/>
  </r>
  <r>
    <s v="T408"/>
    <x v="407"/>
    <s v="Billing"/>
    <s v="Medium"/>
    <s v="Closed"/>
    <x v="0"/>
    <n v="5"/>
    <x v="0"/>
  </r>
  <r>
    <s v="T409"/>
    <x v="408"/>
    <s v="LoginIssues"/>
    <s v="Medium"/>
    <s v="Pending"/>
    <x v="1"/>
    <m/>
    <x v="2"/>
  </r>
  <r>
    <s v="T410"/>
    <x v="409"/>
    <s v="AccountAccess"/>
    <s v="High"/>
    <s v="Closed"/>
    <x v="4"/>
    <n v="4"/>
    <x v="0"/>
  </r>
  <r>
    <s v="T411"/>
    <x v="410"/>
    <s v="RefundRequest"/>
    <s v="Medium"/>
    <s v="Pending"/>
    <x v="7"/>
    <m/>
    <x v="2"/>
  </r>
  <r>
    <s v="T412"/>
    <x v="411"/>
    <s v="Technical"/>
    <s v="Medium"/>
    <s v="Open"/>
    <x v="6"/>
    <m/>
    <x v="2"/>
  </r>
  <r>
    <s v="T413"/>
    <x v="412"/>
    <s v="RefundRequest"/>
    <s v="Medium"/>
    <s v="Closed"/>
    <x v="4"/>
    <n v="10"/>
    <x v="3"/>
  </r>
  <r>
    <s v="T414"/>
    <x v="413"/>
    <s v="Billing"/>
    <s v="Medium"/>
    <s v="Closed"/>
    <x v="4"/>
    <n v="6"/>
    <x v="3"/>
  </r>
  <r>
    <s v="T415"/>
    <x v="414"/>
    <s v="AccountAccess"/>
    <s v="High"/>
    <s v="Open"/>
    <x v="2"/>
    <m/>
    <x v="2"/>
  </r>
  <r>
    <s v="T416"/>
    <x v="415"/>
    <s v="RefundRequest"/>
    <s v="Medium"/>
    <s v="Closed"/>
    <x v="0"/>
    <n v="5"/>
    <x v="0"/>
  </r>
  <r>
    <s v="T417"/>
    <x v="416"/>
    <s v="RefundRequest"/>
    <s v="Medium"/>
    <s v="Escalated"/>
    <x v="6"/>
    <m/>
    <x v="2"/>
  </r>
  <r>
    <s v="T418"/>
    <x v="417"/>
    <s v="AccountAccess"/>
    <s v="High"/>
    <s v="Escalated"/>
    <x v="5"/>
    <m/>
    <x v="2"/>
  </r>
  <r>
    <s v="T419"/>
    <x v="418"/>
    <s v="AccountAccess"/>
    <s v="High"/>
    <s v="Pending"/>
    <x v="7"/>
    <m/>
    <x v="2"/>
  </r>
  <r>
    <s v="T420"/>
    <x v="419"/>
    <s v="LoginIssues"/>
    <s v="High"/>
    <s v="Pending"/>
    <x v="7"/>
    <m/>
    <x v="2"/>
  </r>
  <r>
    <s v="T421"/>
    <x v="420"/>
    <s v="AccountAccess"/>
    <s v="High"/>
    <s v="Closed"/>
    <x v="7"/>
    <n v="3"/>
    <x v="1"/>
  </r>
  <r>
    <s v="T422"/>
    <x v="421"/>
    <s v="Billing"/>
    <s v="Medium"/>
    <s v="Open"/>
    <x v="6"/>
    <m/>
    <x v="2"/>
  </r>
  <r>
    <s v="T423"/>
    <x v="422"/>
    <s v="RefundRequest"/>
    <s v="Medium"/>
    <s v="Pending"/>
    <x v="4"/>
    <m/>
    <x v="2"/>
  </r>
  <r>
    <s v="T424"/>
    <x v="423"/>
    <s v="Technical"/>
    <s v="Medium"/>
    <s v="Closed"/>
    <x v="3"/>
    <n v="29"/>
    <x v="0"/>
  </r>
  <r>
    <s v="T425"/>
    <x v="424"/>
    <s v="Technical"/>
    <s v="Medium"/>
    <s v="Open"/>
    <x v="3"/>
    <m/>
    <x v="2"/>
  </r>
  <r>
    <s v="T426"/>
    <x v="425"/>
    <s v="AccountAccess"/>
    <s v="High"/>
    <s v="Escalated"/>
    <x v="1"/>
    <m/>
    <x v="2"/>
  </r>
  <r>
    <s v="T427"/>
    <x v="426"/>
    <s v="Billing"/>
    <s v="Medium"/>
    <s v="Pending"/>
    <x v="1"/>
    <m/>
    <x v="2"/>
  </r>
  <r>
    <s v="T428"/>
    <x v="427"/>
    <s v="Technical"/>
    <s v="Medium"/>
    <s v="Open"/>
    <x v="2"/>
    <m/>
    <x v="2"/>
  </r>
  <r>
    <s v="T429"/>
    <x v="428"/>
    <s v="Billing"/>
    <s v="Medium"/>
    <s v="Closed"/>
    <x v="1"/>
    <n v="8"/>
    <x v="0"/>
  </r>
  <r>
    <s v="T430"/>
    <x v="429"/>
    <s v="AccountAccess"/>
    <s v="High"/>
    <s v="Open"/>
    <x v="6"/>
    <m/>
    <x v="2"/>
  </r>
  <r>
    <s v="T431"/>
    <x v="430"/>
    <s v="RefundRequest"/>
    <s v="Medium"/>
    <s v="Closed"/>
    <x v="5"/>
    <n v="13"/>
    <x v="0"/>
  </r>
  <r>
    <s v="T432"/>
    <x v="431"/>
    <s v="Billing"/>
    <s v="Medium"/>
    <s v="Closed"/>
    <x v="0"/>
    <n v="8"/>
    <x v="0"/>
  </r>
  <r>
    <s v="T433"/>
    <x v="432"/>
    <s v="LoginIssues"/>
    <s v="High"/>
    <s v="Closed"/>
    <x v="3"/>
    <n v="24"/>
    <x v="0"/>
  </r>
  <r>
    <s v="T434"/>
    <x v="433"/>
    <s v="RefundRequest"/>
    <s v="Medium"/>
    <s v="Escalated"/>
    <x v="2"/>
    <m/>
    <x v="2"/>
  </r>
  <r>
    <s v="T435"/>
    <x v="434"/>
    <s v="Technical"/>
    <s v="High"/>
    <s v="Escalated"/>
    <x v="4"/>
    <m/>
    <x v="2"/>
  </r>
  <r>
    <s v="T436"/>
    <x v="435"/>
    <s v="Billing"/>
    <s v="Medium"/>
    <s v="Escalated"/>
    <x v="6"/>
    <m/>
    <x v="2"/>
  </r>
  <r>
    <s v="T437"/>
    <x v="436"/>
    <s v="LoginIssues"/>
    <s v="Medium"/>
    <s v="Open"/>
    <x v="7"/>
    <m/>
    <x v="2"/>
  </r>
  <r>
    <s v="T438"/>
    <x v="437"/>
    <s v="RefundRequest"/>
    <s v="Medium"/>
    <s v="Closed"/>
    <x v="4"/>
    <n v="13"/>
    <x v="1"/>
  </r>
  <r>
    <s v="T439"/>
    <x v="438"/>
    <s v="AccountAccess"/>
    <s v="High"/>
    <s v="Closed"/>
    <x v="3"/>
    <n v="6"/>
    <x v="0"/>
  </r>
  <r>
    <s v="T440"/>
    <x v="439"/>
    <s v="RefundRequest"/>
    <s v="Medium"/>
    <s v="Closed"/>
    <x v="6"/>
    <n v="5"/>
    <x v="3"/>
  </r>
  <r>
    <s v="T441"/>
    <x v="440"/>
    <s v="AccountAccess"/>
    <s v="High"/>
    <s v="Escalated"/>
    <x v="7"/>
    <m/>
    <x v="2"/>
  </r>
  <r>
    <s v="T442"/>
    <x v="441"/>
    <s v="Billing"/>
    <s v="Medium"/>
    <s v="Open"/>
    <x v="7"/>
    <m/>
    <x v="2"/>
  </r>
  <r>
    <s v="T443"/>
    <x v="442"/>
    <s v="RefundRequest"/>
    <s v="Medium"/>
    <s v="Open"/>
    <x v="2"/>
    <m/>
    <x v="2"/>
  </r>
  <r>
    <s v="T444"/>
    <x v="443"/>
    <s v="Billing"/>
    <s v="Medium"/>
    <s v="Pending"/>
    <x v="7"/>
    <m/>
    <x v="2"/>
  </r>
  <r>
    <s v="T445"/>
    <x v="444"/>
    <s v="AccountAccess"/>
    <s v="High"/>
    <s v="Closed"/>
    <x v="6"/>
    <n v="3"/>
    <x v="1"/>
  </r>
  <r>
    <s v="T446"/>
    <x v="445"/>
    <s v="AccountAccess"/>
    <s v="High"/>
    <s v="Escalated"/>
    <x v="7"/>
    <m/>
    <x v="2"/>
  </r>
  <r>
    <s v="T447"/>
    <x v="446"/>
    <s v="Billing"/>
    <s v="Medium"/>
    <s v="Open"/>
    <x v="7"/>
    <m/>
    <x v="2"/>
  </r>
  <r>
    <s v="T448"/>
    <x v="447"/>
    <s v="LoginIssues"/>
    <s v="High"/>
    <s v="Closed"/>
    <x v="7"/>
    <n v="19"/>
    <x v="3"/>
  </r>
  <r>
    <s v="T449"/>
    <x v="448"/>
    <s v="RefundRequest"/>
    <s v="Medium"/>
    <s v="Open"/>
    <x v="4"/>
    <m/>
    <x v="2"/>
  </r>
  <r>
    <s v="T450"/>
    <x v="449"/>
    <s v="AccountAccess"/>
    <s v="High"/>
    <s v="Pending"/>
    <x v="2"/>
    <m/>
    <x v="2"/>
  </r>
  <r>
    <s v="T451"/>
    <x v="450"/>
    <s v="LoginIssues"/>
    <s v="High"/>
    <s v="Pending"/>
    <x v="3"/>
    <m/>
    <x v="2"/>
  </r>
  <r>
    <s v="T452"/>
    <x v="451"/>
    <s v="LoginIssues"/>
    <s v="High"/>
    <s v="Closed"/>
    <x v="2"/>
    <n v="14"/>
    <x v="0"/>
  </r>
  <r>
    <s v="T453"/>
    <x v="452"/>
    <s v="RefundRequest"/>
    <s v="Medium"/>
    <s v="Pending"/>
    <x v="0"/>
    <m/>
    <x v="2"/>
  </r>
  <r>
    <s v="T454"/>
    <x v="453"/>
    <s v="Billing"/>
    <s v="Medium"/>
    <s v="Open"/>
    <x v="0"/>
    <m/>
    <x v="2"/>
  </r>
  <r>
    <s v="T455"/>
    <x v="454"/>
    <s v="LoginIssues"/>
    <s v="Medium"/>
    <s v="Closed"/>
    <x v="1"/>
    <n v="18"/>
    <x v="1"/>
  </r>
  <r>
    <s v="T456"/>
    <x v="455"/>
    <s v="RefundRequest"/>
    <s v="Medium"/>
    <s v="Closed"/>
    <x v="4"/>
    <n v="15"/>
    <x v="1"/>
  </r>
  <r>
    <s v="T457"/>
    <x v="456"/>
    <s v="RefundRequest"/>
    <s v="Medium"/>
    <s v="Closed"/>
    <x v="6"/>
    <n v="5"/>
    <x v="0"/>
  </r>
  <r>
    <s v="T458"/>
    <x v="457"/>
    <s v="RefundRequest"/>
    <s v="Medium"/>
    <s v="Open"/>
    <x v="3"/>
    <m/>
    <x v="2"/>
  </r>
  <r>
    <s v="T459"/>
    <x v="458"/>
    <s v="Technical"/>
    <s v="High"/>
    <s v="Open"/>
    <x v="1"/>
    <m/>
    <x v="2"/>
  </r>
  <r>
    <s v="T460"/>
    <x v="459"/>
    <s v="RefundRequest"/>
    <s v="Medium"/>
    <s v="Escalated"/>
    <x v="6"/>
    <m/>
    <x v="2"/>
  </r>
  <r>
    <s v="T461"/>
    <x v="460"/>
    <s v="RefundRequest"/>
    <s v="Medium"/>
    <s v="Pending"/>
    <x v="3"/>
    <m/>
    <x v="2"/>
  </r>
  <r>
    <s v="T462"/>
    <x v="461"/>
    <s v="RefundRequest"/>
    <s v="Medium"/>
    <s v="Closed"/>
    <x v="7"/>
    <n v="8"/>
    <x v="1"/>
  </r>
  <r>
    <s v="T463"/>
    <x v="462"/>
    <s v="LoginIssues"/>
    <s v="High"/>
    <s v="Pending"/>
    <x v="6"/>
    <m/>
    <x v="2"/>
  </r>
  <r>
    <s v="T464"/>
    <x v="463"/>
    <s v="RefundRequest"/>
    <s v="Medium"/>
    <s v="Open"/>
    <x v="3"/>
    <m/>
    <x v="2"/>
  </r>
  <r>
    <s v="T465"/>
    <x v="464"/>
    <s v="Billing"/>
    <s v="Medium"/>
    <s v="Escalated"/>
    <x v="0"/>
    <m/>
    <x v="2"/>
  </r>
  <r>
    <s v="T466"/>
    <x v="465"/>
    <s v="Billing"/>
    <s v="Medium"/>
    <s v="Open"/>
    <x v="4"/>
    <m/>
    <x v="2"/>
  </r>
  <r>
    <s v="T467"/>
    <x v="466"/>
    <s v="Technical"/>
    <s v="High"/>
    <s v="Closed"/>
    <x v="1"/>
    <n v="13"/>
    <x v="0"/>
  </r>
  <r>
    <s v="T468"/>
    <x v="467"/>
    <s v="AccountAccess"/>
    <s v="High"/>
    <s v="Open"/>
    <x v="2"/>
    <m/>
    <x v="2"/>
  </r>
  <r>
    <s v="T469"/>
    <x v="468"/>
    <s v="LoginIssues"/>
    <s v="High"/>
    <s v="Pending"/>
    <x v="4"/>
    <m/>
    <x v="2"/>
  </r>
  <r>
    <s v="T470"/>
    <x v="469"/>
    <s v="LoginIssues"/>
    <s v="Medium"/>
    <s v="Closed"/>
    <x v="0"/>
    <n v="45"/>
    <x v="3"/>
  </r>
  <r>
    <s v="T471"/>
    <x v="470"/>
    <s v="LoginIssues"/>
    <s v="Medium"/>
    <s v="Pending"/>
    <x v="4"/>
    <m/>
    <x v="2"/>
  </r>
  <r>
    <s v="T472"/>
    <x v="471"/>
    <s v="AccountAccess"/>
    <s v="High"/>
    <s v="Closed"/>
    <x v="2"/>
    <n v="5"/>
    <x v="1"/>
  </r>
  <r>
    <s v="T473"/>
    <x v="472"/>
    <s v="Billing"/>
    <s v="Medium"/>
    <s v="Closed"/>
    <x v="1"/>
    <n v="7"/>
    <x v="1"/>
  </r>
  <r>
    <s v="T474"/>
    <x v="473"/>
    <s v="AccountAccess"/>
    <s v="High"/>
    <s v="Open"/>
    <x v="5"/>
    <m/>
    <x v="2"/>
  </r>
  <r>
    <s v="T475"/>
    <x v="474"/>
    <s v="AccountAccess"/>
    <s v="High"/>
    <s v="Closed"/>
    <x v="1"/>
    <n v="2"/>
    <x v="1"/>
  </r>
  <r>
    <s v="T476"/>
    <x v="475"/>
    <s v="RefundRequest"/>
    <s v="Medium"/>
    <s v="Open"/>
    <x v="1"/>
    <m/>
    <x v="2"/>
  </r>
  <r>
    <s v="T477"/>
    <x v="476"/>
    <s v="AccountAccess"/>
    <s v="High"/>
    <s v="Escalated"/>
    <x v="4"/>
    <m/>
    <x v="2"/>
  </r>
  <r>
    <s v="T478"/>
    <x v="477"/>
    <s v="RefundRequest"/>
    <s v="Medium"/>
    <s v="Pending"/>
    <x v="7"/>
    <m/>
    <x v="2"/>
  </r>
  <r>
    <s v="T479"/>
    <x v="478"/>
    <s v="RefundRequest"/>
    <s v="Medium"/>
    <s v="Closed"/>
    <x v="2"/>
    <n v="7"/>
    <x v="0"/>
  </r>
  <r>
    <s v="T480"/>
    <x v="479"/>
    <s v="Billing"/>
    <s v="Medium"/>
    <s v="Closed"/>
    <x v="5"/>
    <n v="8"/>
    <x v="0"/>
  </r>
  <r>
    <s v="T481"/>
    <x v="480"/>
    <s v="Billing"/>
    <s v="Medium"/>
    <s v="Open"/>
    <x v="7"/>
    <m/>
    <x v="2"/>
  </r>
  <r>
    <s v="T482"/>
    <x v="481"/>
    <s v="Technical"/>
    <s v="Medium"/>
    <s v="Closed"/>
    <x v="4"/>
    <n v="38"/>
    <x v="3"/>
  </r>
  <r>
    <s v="T483"/>
    <x v="482"/>
    <s v="Billing"/>
    <s v="Medium"/>
    <s v="Closed"/>
    <x v="6"/>
    <n v="3"/>
    <x v="1"/>
  </r>
  <r>
    <s v="T484"/>
    <x v="483"/>
    <s v="AccountAccess"/>
    <s v="High"/>
    <s v="Open"/>
    <x v="0"/>
    <m/>
    <x v="2"/>
  </r>
  <r>
    <s v="T485"/>
    <x v="484"/>
    <s v="Technical"/>
    <s v="Medium"/>
    <s v="Closed"/>
    <x v="6"/>
    <n v="43"/>
    <x v="3"/>
  </r>
  <r>
    <s v="T486"/>
    <x v="485"/>
    <s v="RefundRequest"/>
    <s v="Medium"/>
    <s v="Closed"/>
    <x v="1"/>
    <n v="11"/>
    <x v="3"/>
  </r>
  <r>
    <s v="T487"/>
    <x v="486"/>
    <s v="Billing"/>
    <s v="Medium"/>
    <s v="Closed"/>
    <x v="3"/>
    <n v="6"/>
    <x v="0"/>
  </r>
  <r>
    <s v="T488"/>
    <x v="487"/>
    <s v="RefundRequest"/>
    <s v="Medium"/>
    <s v="Pending"/>
    <x v="3"/>
    <m/>
    <x v="2"/>
  </r>
  <r>
    <s v="T489"/>
    <x v="488"/>
    <s v="AccountAccess"/>
    <s v="High"/>
    <s v="Pending"/>
    <x v="6"/>
    <m/>
    <x v="2"/>
  </r>
  <r>
    <s v="T490"/>
    <x v="489"/>
    <s v="Billing"/>
    <s v="Medium"/>
    <s v="Pending"/>
    <x v="0"/>
    <m/>
    <x v="2"/>
  </r>
  <r>
    <s v="T491"/>
    <x v="490"/>
    <s v="AccountAccess"/>
    <s v="High"/>
    <s v="Open"/>
    <x v="6"/>
    <m/>
    <x v="2"/>
  </r>
  <r>
    <s v="T492"/>
    <x v="491"/>
    <s v="Technical"/>
    <s v="High"/>
    <s v="Open"/>
    <x v="3"/>
    <m/>
    <x v="2"/>
  </r>
  <r>
    <s v="T493"/>
    <x v="492"/>
    <s v="Technical"/>
    <s v="High"/>
    <s v="Open"/>
    <x v="2"/>
    <m/>
    <x v="2"/>
  </r>
  <r>
    <s v="T494"/>
    <x v="493"/>
    <s v="AccountAccess"/>
    <s v="High"/>
    <s v="Open"/>
    <x v="6"/>
    <m/>
    <x v="2"/>
  </r>
  <r>
    <s v="T495"/>
    <x v="494"/>
    <s v="RefundRequest"/>
    <s v="Medium"/>
    <s v="Open"/>
    <x v="4"/>
    <m/>
    <x v="2"/>
  </r>
  <r>
    <s v="T496"/>
    <x v="495"/>
    <s v="LoginIssues"/>
    <s v="Medium"/>
    <s v="Closed"/>
    <x v="5"/>
    <n v="40"/>
    <x v="0"/>
  </r>
  <r>
    <s v="T497"/>
    <x v="496"/>
    <s v="RefundRequest"/>
    <s v="Medium"/>
    <s v="Closed"/>
    <x v="4"/>
    <n v="12"/>
    <x v="0"/>
  </r>
  <r>
    <s v="T498"/>
    <x v="497"/>
    <s v="Billing"/>
    <s v="Medium"/>
    <s v="Closed"/>
    <x v="2"/>
    <n v="7"/>
    <x v="1"/>
  </r>
  <r>
    <s v="T499"/>
    <x v="498"/>
    <s v="Billing"/>
    <s v="Medium"/>
    <s v="Pending"/>
    <x v="0"/>
    <m/>
    <x v="2"/>
  </r>
  <r>
    <s v="T500"/>
    <x v="499"/>
    <s v="Billing"/>
    <s v="Medium"/>
    <s v="Escalated"/>
    <x v="1"/>
    <m/>
    <x v="2"/>
  </r>
  <r>
    <s v="T501"/>
    <x v="500"/>
    <s v="Technical"/>
    <s v="High"/>
    <s v="Closed"/>
    <x v="5"/>
    <n v="32"/>
    <x v="0"/>
  </r>
  <r>
    <s v="T502"/>
    <x v="501"/>
    <s v="RefundRequest"/>
    <s v="Medium"/>
    <s v="Closed"/>
    <x v="5"/>
    <n v="13"/>
    <x v="0"/>
  </r>
  <r>
    <s v="T503"/>
    <x v="502"/>
    <s v="RefundRequest"/>
    <s v="Medium"/>
    <s v="Closed"/>
    <x v="7"/>
    <n v="5"/>
    <x v="3"/>
  </r>
  <r>
    <s v="T504"/>
    <x v="503"/>
    <s v="AccountAccess"/>
    <s v="High"/>
    <s v="Closed"/>
    <x v="7"/>
    <n v="8"/>
    <x v="1"/>
  </r>
  <r>
    <s v="T505"/>
    <x v="504"/>
    <s v="LoginIssues"/>
    <s v="High"/>
    <s v="Escalated"/>
    <x v="2"/>
    <m/>
    <x v="2"/>
  </r>
  <r>
    <s v="T506"/>
    <x v="505"/>
    <s v="Billing"/>
    <s v="Medium"/>
    <s v="Open"/>
    <x v="4"/>
    <m/>
    <x v="2"/>
  </r>
  <r>
    <s v="T507"/>
    <x v="506"/>
    <s v="RefundRequest"/>
    <s v="Medium"/>
    <s v="Escalated"/>
    <x v="4"/>
    <m/>
    <x v="2"/>
  </r>
  <r>
    <s v="T508"/>
    <x v="507"/>
    <s v="Billing"/>
    <s v="Medium"/>
    <s v="Closed"/>
    <x v="3"/>
    <n v="5"/>
    <x v="1"/>
  </r>
  <r>
    <s v="T509"/>
    <x v="508"/>
    <s v="Technical"/>
    <s v="Medium"/>
    <s v="Closed"/>
    <x v="0"/>
    <n v="14"/>
    <x v="3"/>
  </r>
  <r>
    <s v="T510"/>
    <x v="509"/>
    <s v="LoginIssues"/>
    <s v="Medium"/>
    <s v="Open"/>
    <x v="5"/>
    <m/>
    <x v="2"/>
  </r>
  <r>
    <s v="T511"/>
    <x v="510"/>
    <s v="Billing"/>
    <s v="Medium"/>
    <s v="Open"/>
    <x v="3"/>
    <m/>
    <x v="2"/>
  </r>
  <r>
    <s v="T512"/>
    <x v="511"/>
    <s v="Technical"/>
    <s v="High"/>
    <s v="Open"/>
    <x v="3"/>
    <m/>
    <x v="2"/>
  </r>
  <r>
    <s v="T513"/>
    <x v="512"/>
    <s v="RefundRequest"/>
    <s v="Medium"/>
    <s v="Closed"/>
    <x v="5"/>
    <n v="11"/>
    <x v="3"/>
  </r>
  <r>
    <s v="T514"/>
    <x v="513"/>
    <s v="Billing"/>
    <s v="Medium"/>
    <s v="Open"/>
    <x v="4"/>
    <m/>
    <x v="2"/>
  </r>
  <r>
    <s v="T515"/>
    <x v="514"/>
    <s v="LoginIssues"/>
    <s v="High"/>
    <s v="Escalated"/>
    <x v="6"/>
    <m/>
    <x v="2"/>
  </r>
  <r>
    <s v="T516"/>
    <x v="515"/>
    <s v="RefundRequest"/>
    <s v="Medium"/>
    <s v="Closed"/>
    <x v="6"/>
    <n v="14"/>
    <x v="3"/>
  </r>
  <r>
    <s v="T517"/>
    <x v="516"/>
    <s v="RefundRequest"/>
    <s v="Medium"/>
    <s v="Closed"/>
    <x v="4"/>
    <n v="6"/>
    <x v="0"/>
  </r>
  <r>
    <s v="T518"/>
    <x v="517"/>
    <s v="Billing"/>
    <s v="Medium"/>
    <s v="Escalated"/>
    <x v="3"/>
    <m/>
    <x v="2"/>
  </r>
  <r>
    <s v="T519"/>
    <x v="518"/>
    <s v="LoginIssues"/>
    <s v="Medium"/>
    <s v="Closed"/>
    <x v="5"/>
    <n v="24"/>
    <x v="3"/>
  </r>
  <r>
    <s v="T520"/>
    <x v="519"/>
    <s v="AccountAccess"/>
    <s v="High"/>
    <s v="Closed"/>
    <x v="6"/>
    <n v="5"/>
    <x v="3"/>
  </r>
  <r>
    <s v="T521"/>
    <x v="520"/>
    <s v="Technical"/>
    <s v="High"/>
    <s v="Pending"/>
    <x v="0"/>
    <m/>
    <x v="2"/>
  </r>
  <r>
    <s v="T522"/>
    <x v="521"/>
    <s v="Technical"/>
    <s v="Medium"/>
    <s v="Open"/>
    <x v="5"/>
    <m/>
    <x v="2"/>
  </r>
  <r>
    <s v="T523"/>
    <x v="522"/>
    <s v="AccountAccess"/>
    <s v="High"/>
    <s v="Pending"/>
    <x v="1"/>
    <m/>
    <x v="2"/>
  </r>
  <r>
    <s v="T524"/>
    <x v="523"/>
    <s v="Billing"/>
    <s v="Medium"/>
    <s v="Pending"/>
    <x v="5"/>
    <m/>
    <x v="2"/>
  </r>
  <r>
    <s v="T525"/>
    <x v="524"/>
    <s v="AccountAccess"/>
    <s v="High"/>
    <s v="Closed"/>
    <x v="0"/>
    <n v="7"/>
    <x v="1"/>
  </r>
  <r>
    <s v="T526"/>
    <x v="525"/>
    <s v="Technical"/>
    <s v="High"/>
    <s v="Open"/>
    <x v="5"/>
    <m/>
    <x v="2"/>
  </r>
  <r>
    <s v="T527"/>
    <x v="526"/>
    <s v="LoginIssues"/>
    <s v="High"/>
    <s v="Open"/>
    <x v="5"/>
    <m/>
    <x v="2"/>
  </r>
  <r>
    <s v="T528"/>
    <x v="527"/>
    <s v="AccountAccess"/>
    <s v="High"/>
    <s v="Escalated"/>
    <x v="0"/>
    <m/>
    <x v="2"/>
  </r>
  <r>
    <s v="T529"/>
    <x v="528"/>
    <s v="Technical"/>
    <s v="High"/>
    <s v="Closed"/>
    <x v="0"/>
    <n v="22"/>
    <x v="0"/>
  </r>
  <r>
    <s v="T530"/>
    <x v="529"/>
    <s v="Technical"/>
    <s v="Medium"/>
    <s v="Escalated"/>
    <x v="7"/>
    <m/>
    <x v="2"/>
  </r>
  <r>
    <s v="T531"/>
    <x v="530"/>
    <s v="Billing"/>
    <s v="Medium"/>
    <s v="Closed"/>
    <x v="1"/>
    <n v="5"/>
    <x v="1"/>
  </r>
  <r>
    <s v="T532"/>
    <x v="531"/>
    <s v="Technical"/>
    <s v="Medium"/>
    <s v="Escalated"/>
    <x v="2"/>
    <m/>
    <x v="2"/>
  </r>
  <r>
    <s v="T533"/>
    <x v="532"/>
    <s v="AccountAccess"/>
    <s v="High"/>
    <s v="Closed"/>
    <x v="0"/>
    <n v="8"/>
    <x v="3"/>
  </r>
  <r>
    <s v="T534"/>
    <x v="533"/>
    <s v="AccountAccess"/>
    <s v="High"/>
    <s v="Closed"/>
    <x v="0"/>
    <n v="5"/>
    <x v="1"/>
  </r>
  <r>
    <s v="T535"/>
    <x v="534"/>
    <s v="Billing"/>
    <s v="Medium"/>
    <s v="Open"/>
    <x v="6"/>
    <m/>
    <x v="2"/>
  </r>
  <r>
    <s v="T536"/>
    <x v="535"/>
    <s v="LoginIssues"/>
    <s v="Medium"/>
    <s v="Escalated"/>
    <x v="4"/>
    <m/>
    <x v="2"/>
  </r>
  <r>
    <s v="T537"/>
    <x v="536"/>
    <s v="Technical"/>
    <s v="Medium"/>
    <s v="Closed"/>
    <x v="7"/>
    <n v="41"/>
    <x v="1"/>
  </r>
  <r>
    <s v="T538"/>
    <x v="537"/>
    <s v="Technical"/>
    <s v="Medium"/>
    <s v="Open"/>
    <x v="4"/>
    <m/>
    <x v="2"/>
  </r>
  <r>
    <s v="T539"/>
    <x v="538"/>
    <s v="Billing"/>
    <s v="Medium"/>
    <s v="Escalated"/>
    <x v="1"/>
    <m/>
    <x v="2"/>
  </r>
  <r>
    <s v="T540"/>
    <x v="539"/>
    <s v="Billing"/>
    <s v="Medium"/>
    <s v="Open"/>
    <x v="2"/>
    <m/>
    <x v="2"/>
  </r>
  <r>
    <s v="T541"/>
    <x v="540"/>
    <s v="Technical"/>
    <s v="High"/>
    <s v="Closed"/>
    <x v="2"/>
    <n v="18"/>
    <x v="0"/>
  </r>
  <r>
    <s v="T542"/>
    <x v="541"/>
    <s v="RefundRequest"/>
    <s v="Medium"/>
    <s v="Closed"/>
    <x v="7"/>
    <n v="8"/>
    <x v="0"/>
  </r>
  <r>
    <s v="T543"/>
    <x v="542"/>
    <s v="AccountAccess"/>
    <s v="High"/>
    <s v="Open"/>
    <x v="6"/>
    <m/>
    <x v="2"/>
  </r>
  <r>
    <s v="T544"/>
    <x v="543"/>
    <s v="AccountAccess"/>
    <s v="High"/>
    <s v="Escalated"/>
    <x v="7"/>
    <m/>
    <x v="2"/>
  </r>
  <r>
    <s v="T545"/>
    <x v="544"/>
    <s v="LoginIssues"/>
    <s v="Medium"/>
    <s v="Open"/>
    <x v="5"/>
    <m/>
    <x v="2"/>
  </r>
  <r>
    <s v="T546"/>
    <x v="545"/>
    <s v="LoginIssues"/>
    <s v="High"/>
    <s v="Closed"/>
    <x v="1"/>
    <n v="42"/>
    <x v="3"/>
  </r>
  <r>
    <s v="T547"/>
    <x v="546"/>
    <s v="Billing"/>
    <s v="Medium"/>
    <s v="Open"/>
    <x v="1"/>
    <m/>
    <x v="2"/>
  </r>
  <r>
    <s v="T548"/>
    <x v="547"/>
    <s v="RefundRequest"/>
    <s v="Medium"/>
    <s v="Closed"/>
    <x v="2"/>
    <n v="11"/>
    <x v="3"/>
  </r>
  <r>
    <s v="T549"/>
    <x v="548"/>
    <s v="RefundRequest"/>
    <s v="Medium"/>
    <s v="Pending"/>
    <x v="3"/>
    <m/>
    <x v="2"/>
  </r>
  <r>
    <s v="T550"/>
    <x v="549"/>
    <s v="LoginIssues"/>
    <s v="High"/>
    <s v="Open"/>
    <x v="2"/>
    <m/>
    <x v="2"/>
  </r>
  <r>
    <s v="T551"/>
    <x v="550"/>
    <s v="Billing"/>
    <s v="Medium"/>
    <s v="Pending"/>
    <x v="3"/>
    <m/>
    <x v="2"/>
  </r>
  <r>
    <s v="T552"/>
    <x v="551"/>
    <s v="LoginIssues"/>
    <s v="Medium"/>
    <s v="Escalated"/>
    <x v="7"/>
    <m/>
    <x v="2"/>
  </r>
  <r>
    <s v="T553"/>
    <x v="552"/>
    <s v="Technical"/>
    <s v="Medium"/>
    <s v="Open"/>
    <x v="0"/>
    <m/>
    <x v="2"/>
  </r>
  <r>
    <s v="T554"/>
    <x v="553"/>
    <s v="Technical"/>
    <s v="Medium"/>
    <s v="Closed"/>
    <x v="6"/>
    <n v="37"/>
    <x v="0"/>
  </r>
  <r>
    <s v="T555"/>
    <x v="554"/>
    <s v="LoginIssues"/>
    <s v="Medium"/>
    <s v="Closed"/>
    <x v="1"/>
    <n v="17"/>
    <x v="0"/>
  </r>
  <r>
    <s v="T556"/>
    <x v="555"/>
    <s v="AccountAccess"/>
    <s v="High"/>
    <s v="Open"/>
    <x v="7"/>
    <m/>
    <x v="2"/>
  </r>
  <r>
    <s v="T557"/>
    <x v="556"/>
    <s v="Technical"/>
    <s v="High"/>
    <s v="Closed"/>
    <x v="1"/>
    <n v="47"/>
    <x v="1"/>
  </r>
  <r>
    <s v="T558"/>
    <x v="557"/>
    <s v="Billing"/>
    <s v="Medium"/>
    <s v="Closed"/>
    <x v="1"/>
    <n v="5"/>
    <x v="3"/>
  </r>
  <r>
    <s v="T559"/>
    <x v="558"/>
    <s v="RefundRequest"/>
    <s v="Medium"/>
    <s v="Open"/>
    <x v="6"/>
    <m/>
    <x v="2"/>
  </r>
  <r>
    <s v="T560"/>
    <x v="559"/>
    <s v="LoginIssues"/>
    <s v="Medium"/>
    <s v="Closed"/>
    <x v="3"/>
    <n v="28"/>
    <x v="0"/>
  </r>
  <r>
    <s v="T561"/>
    <x v="560"/>
    <s v="Billing"/>
    <s v="Medium"/>
    <s v="Closed"/>
    <x v="1"/>
    <n v="3"/>
    <x v="1"/>
  </r>
  <r>
    <s v="T562"/>
    <x v="561"/>
    <s v="Technical"/>
    <s v="High"/>
    <s v="Pending"/>
    <x v="7"/>
    <m/>
    <x v="2"/>
  </r>
  <r>
    <s v="T563"/>
    <x v="562"/>
    <s v="AccountAccess"/>
    <s v="High"/>
    <s v="Open"/>
    <x v="6"/>
    <m/>
    <x v="2"/>
  </r>
  <r>
    <s v="T564"/>
    <x v="563"/>
    <s v="AccountAccess"/>
    <s v="High"/>
    <s v="Escalated"/>
    <x v="6"/>
    <m/>
    <x v="2"/>
  </r>
  <r>
    <s v="T565"/>
    <x v="564"/>
    <s v="RefundRequest"/>
    <s v="Medium"/>
    <s v="Pending"/>
    <x v="0"/>
    <m/>
    <x v="2"/>
  </r>
  <r>
    <s v="T566"/>
    <x v="565"/>
    <s v="Technical"/>
    <s v="High"/>
    <s v="Pending"/>
    <x v="0"/>
    <m/>
    <x v="2"/>
  </r>
  <r>
    <s v="T567"/>
    <x v="566"/>
    <s v="AccountAccess"/>
    <s v="High"/>
    <s v="Pending"/>
    <x v="7"/>
    <m/>
    <x v="2"/>
  </r>
  <r>
    <s v="T568"/>
    <x v="567"/>
    <s v="RefundRequest"/>
    <s v="Medium"/>
    <s v="Open"/>
    <x v="3"/>
    <m/>
    <x v="2"/>
  </r>
  <r>
    <s v="T569"/>
    <x v="568"/>
    <s v="AccountAccess"/>
    <s v="High"/>
    <s v="Open"/>
    <x v="5"/>
    <m/>
    <x v="2"/>
  </r>
  <r>
    <s v="T570"/>
    <x v="569"/>
    <s v="AccountAccess"/>
    <s v="High"/>
    <s v="Open"/>
    <x v="6"/>
    <m/>
    <x v="2"/>
  </r>
  <r>
    <s v="T571"/>
    <x v="570"/>
    <s v="AccountAccess"/>
    <s v="High"/>
    <s v="Closed"/>
    <x v="2"/>
    <n v="2"/>
    <x v="0"/>
  </r>
  <r>
    <s v="T572"/>
    <x v="571"/>
    <s v="Billing"/>
    <s v="Medium"/>
    <s v="Escalated"/>
    <x v="0"/>
    <m/>
    <x v="2"/>
  </r>
  <r>
    <s v="T573"/>
    <x v="572"/>
    <s v="LoginIssues"/>
    <s v="Medium"/>
    <s v="Open"/>
    <x v="4"/>
    <m/>
    <x v="2"/>
  </r>
  <r>
    <s v="T574"/>
    <x v="573"/>
    <s v="Billing"/>
    <s v="Medium"/>
    <s v="Closed"/>
    <x v="7"/>
    <n v="4"/>
    <x v="1"/>
  </r>
  <r>
    <s v="T575"/>
    <x v="574"/>
    <s v="Billing"/>
    <s v="Medium"/>
    <s v="Closed"/>
    <x v="5"/>
    <n v="6"/>
    <x v="0"/>
  </r>
  <r>
    <s v="T576"/>
    <x v="575"/>
    <s v="RefundRequest"/>
    <s v="Medium"/>
    <s v="Open"/>
    <x v="2"/>
    <m/>
    <x v="2"/>
  </r>
  <r>
    <s v="T577"/>
    <x v="576"/>
    <s v="AccountAccess"/>
    <s v="High"/>
    <s v="Pending"/>
    <x v="6"/>
    <m/>
    <x v="2"/>
  </r>
  <r>
    <s v="T578"/>
    <x v="577"/>
    <s v="Technical"/>
    <s v="Medium"/>
    <s v="Open"/>
    <x v="2"/>
    <m/>
    <x v="2"/>
  </r>
  <r>
    <s v="T579"/>
    <x v="578"/>
    <s v="RefundRequest"/>
    <s v="Medium"/>
    <s v="Closed"/>
    <x v="5"/>
    <n v="8"/>
    <x v="3"/>
  </r>
  <r>
    <s v="T580"/>
    <x v="579"/>
    <s v="LoginIssues"/>
    <s v="High"/>
    <s v="Open"/>
    <x v="2"/>
    <m/>
    <x v="2"/>
  </r>
  <r>
    <s v="T581"/>
    <x v="580"/>
    <s v="LoginIssues"/>
    <s v="Medium"/>
    <s v="Pending"/>
    <x v="6"/>
    <m/>
    <x v="2"/>
  </r>
  <r>
    <s v="T582"/>
    <x v="581"/>
    <s v="AccountAccess"/>
    <s v="High"/>
    <s v="Open"/>
    <x v="5"/>
    <m/>
    <x v="2"/>
  </r>
  <r>
    <s v="T583"/>
    <x v="582"/>
    <s v="LoginIssues"/>
    <s v="High"/>
    <s v="Escalated"/>
    <x v="2"/>
    <m/>
    <x v="2"/>
  </r>
  <r>
    <s v="T584"/>
    <x v="583"/>
    <s v="Billing"/>
    <s v="Medium"/>
    <s v="Closed"/>
    <x v="4"/>
    <n v="3"/>
    <x v="1"/>
  </r>
  <r>
    <s v="T585"/>
    <x v="584"/>
    <s v="Billing"/>
    <s v="Medium"/>
    <s v="Escalated"/>
    <x v="6"/>
    <m/>
    <x v="2"/>
  </r>
  <r>
    <s v="T586"/>
    <x v="585"/>
    <s v="Billing"/>
    <s v="Medium"/>
    <s v="Closed"/>
    <x v="5"/>
    <n v="4"/>
    <x v="1"/>
  </r>
  <r>
    <s v="T587"/>
    <x v="586"/>
    <s v="AccountAccess"/>
    <s v="High"/>
    <s v="Closed"/>
    <x v="2"/>
    <n v="3"/>
    <x v="1"/>
  </r>
  <r>
    <s v="T588"/>
    <x v="587"/>
    <s v="RefundRequest"/>
    <s v="Medium"/>
    <s v="Escalated"/>
    <x v="1"/>
    <m/>
    <x v="2"/>
  </r>
  <r>
    <s v="T589"/>
    <x v="588"/>
    <s v="Technical"/>
    <s v="High"/>
    <s v="Closed"/>
    <x v="0"/>
    <n v="42"/>
    <x v="3"/>
  </r>
  <r>
    <s v="T590"/>
    <x v="589"/>
    <s v="RefundRequest"/>
    <s v="Medium"/>
    <s v="Open"/>
    <x v="4"/>
    <m/>
    <x v="2"/>
  </r>
  <r>
    <s v="T591"/>
    <x v="590"/>
    <s v="LoginIssues"/>
    <s v="High"/>
    <s v="Open"/>
    <x v="6"/>
    <m/>
    <x v="2"/>
  </r>
  <r>
    <s v="T592"/>
    <x v="591"/>
    <s v="Billing"/>
    <s v="Medium"/>
    <s v="Pending"/>
    <x v="7"/>
    <m/>
    <x v="2"/>
  </r>
  <r>
    <s v="T593"/>
    <x v="592"/>
    <s v="AccountAccess"/>
    <s v="High"/>
    <s v="Pending"/>
    <x v="2"/>
    <m/>
    <x v="2"/>
  </r>
  <r>
    <s v="T594"/>
    <x v="593"/>
    <s v="RefundRequest"/>
    <s v="Medium"/>
    <s v="Closed"/>
    <x v="3"/>
    <n v="15"/>
    <x v="0"/>
  </r>
  <r>
    <s v="T595"/>
    <x v="594"/>
    <s v="RefundRequest"/>
    <s v="Medium"/>
    <s v="Escalated"/>
    <x v="6"/>
    <m/>
    <x v="2"/>
  </r>
  <r>
    <s v="T596"/>
    <x v="595"/>
    <s v="RefundRequest"/>
    <s v="Medium"/>
    <s v="Pending"/>
    <x v="6"/>
    <m/>
    <x v="2"/>
  </r>
  <r>
    <s v="T597"/>
    <x v="596"/>
    <s v="Technical"/>
    <s v="High"/>
    <s v="Open"/>
    <x v="2"/>
    <m/>
    <x v="2"/>
  </r>
  <r>
    <s v="T598"/>
    <x v="597"/>
    <s v="AccountAccess"/>
    <s v="High"/>
    <s v="Pending"/>
    <x v="3"/>
    <m/>
    <x v="2"/>
  </r>
  <r>
    <s v="T599"/>
    <x v="598"/>
    <s v="AccountAccess"/>
    <s v="High"/>
    <s v="Open"/>
    <x v="6"/>
    <m/>
    <x v="2"/>
  </r>
  <r>
    <s v="T600"/>
    <x v="599"/>
    <s v="Billing"/>
    <s v="Medium"/>
    <s v="Escalated"/>
    <x v="2"/>
    <m/>
    <x v="2"/>
  </r>
  <r>
    <s v="T601"/>
    <x v="600"/>
    <s v="Technical"/>
    <s v="Medium"/>
    <s v="Escalated"/>
    <x v="5"/>
    <m/>
    <x v="2"/>
  </r>
  <r>
    <s v="T602"/>
    <x v="601"/>
    <s v="AccountAccess"/>
    <s v="High"/>
    <s v="Open"/>
    <x v="3"/>
    <m/>
    <x v="2"/>
  </r>
  <r>
    <s v="T603"/>
    <x v="602"/>
    <s v="Billing"/>
    <s v="Medium"/>
    <s v="Closed"/>
    <x v="6"/>
    <n v="7"/>
    <x v="0"/>
  </r>
  <r>
    <s v="T604"/>
    <x v="603"/>
    <s v="RefundRequest"/>
    <s v="Medium"/>
    <s v="Escalated"/>
    <x v="3"/>
    <m/>
    <x v="2"/>
  </r>
  <r>
    <s v="T605"/>
    <x v="604"/>
    <s v="RefundRequest"/>
    <s v="Medium"/>
    <s v="Open"/>
    <x v="6"/>
    <m/>
    <x v="2"/>
  </r>
  <r>
    <s v="T606"/>
    <x v="605"/>
    <s v="Billing"/>
    <s v="Medium"/>
    <s v="Closed"/>
    <x v="4"/>
    <n v="5"/>
    <x v="0"/>
  </r>
  <r>
    <s v="T607"/>
    <x v="606"/>
    <s v="Technical"/>
    <s v="High"/>
    <s v="Closed"/>
    <x v="6"/>
    <n v="33"/>
    <x v="3"/>
  </r>
  <r>
    <s v="T608"/>
    <x v="607"/>
    <s v="LoginIssues"/>
    <s v="High"/>
    <s v="Closed"/>
    <x v="3"/>
    <n v="38"/>
    <x v="0"/>
  </r>
  <r>
    <s v="T609"/>
    <x v="608"/>
    <s v="LoginIssues"/>
    <s v="High"/>
    <s v="Closed"/>
    <x v="0"/>
    <n v="35"/>
    <x v="0"/>
  </r>
  <r>
    <s v="T610"/>
    <x v="609"/>
    <s v="LoginIssues"/>
    <s v="High"/>
    <s v="Pending"/>
    <x v="1"/>
    <m/>
    <x v="2"/>
  </r>
  <r>
    <s v="T611"/>
    <x v="610"/>
    <s v="AccountAccess"/>
    <s v="High"/>
    <s v="Closed"/>
    <x v="0"/>
    <n v="6"/>
    <x v="0"/>
  </r>
  <r>
    <s v="T612"/>
    <x v="611"/>
    <s v="Technical"/>
    <s v="Medium"/>
    <s v="Escalated"/>
    <x v="3"/>
    <m/>
    <x v="2"/>
  </r>
  <r>
    <s v="T613"/>
    <x v="612"/>
    <s v="Billing"/>
    <s v="Medium"/>
    <s v="Closed"/>
    <x v="4"/>
    <n v="5"/>
    <x v="1"/>
  </r>
  <r>
    <s v="T614"/>
    <x v="613"/>
    <s v="Billing"/>
    <s v="Medium"/>
    <s v="Escalated"/>
    <x v="2"/>
    <m/>
    <x v="2"/>
  </r>
  <r>
    <s v="T615"/>
    <x v="614"/>
    <s v="RefundRequest"/>
    <s v="Medium"/>
    <s v="Pending"/>
    <x v="4"/>
    <m/>
    <x v="2"/>
  </r>
  <r>
    <s v="T616"/>
    <x v="615"/>
    <s v="RefundRequest"/>
    <s v="Medium"/>
    <s v="Pending"/>
    <x v="6"/>
    <m/>
    <x v="2"/>
  </r>
  <r>
    <s v="T617"/>
    <x v="616"/>
    <s v="AccountAccess"/>
    <s v="High"/>
    <s v="Closed"/>
    <x v="6"/>
    <n v="6"/>
    <x v="1"/>
  </r>
  <r>
    <s v="T618"/>
    <x v="617"/>
    <s v="Technical"/>
    <s v="Medium"/>
    <s v="Open"/>
    <x v="0"/>
    <m/>
    <x v="2"/>
  </r>
  <r>
    <s v="T619"/>
    <x v="618"/>
    <s v="AccountAccess"/>
    <s v="High"/>
    <s v="Escalated"/>
    <x v="4"/>
    <m/>
    <x v="2"/>
  </r>
  <r>
    <s v="T620"/>
    <x v="619"/>
    <s v="LoginIssues"/>
    <s v="High"/>
    <s v="Closed"/>
    <x v="3"/>
    <n v="25"/>
    <x v="3"/>
  </r>
  <r>
    <s v="T621"/>
    <x v="620"/>
    <s v="AccountAccess"/>
    <s v="High"/>
    <s v="Pending"/>
    <x v="5"/>
    <m/>
    <x v="2"/>
  </r>
  <r>
    <s v="T622"/>
    <x v="621"/>
    <s v="Technical"/>
    <s v="High"/>
    <s v="Open"/>
    <x v="7"/>
    <m/>
    <x v="2"/>
  </r>
  <r>
    <s v="T623"/>
    <x v="622"/>
    <s v="AccountAccess"/>
    <s v="High"/>
    <s v="Open"/>
    <x v="7"/>
    <m/>
    <x v="2"/>
  </r>
  <r>
    <s v="T624"/>
    <x v="623"/>
    <s v="AccountAccess"/>
    <s v="High"/>
    <s v="Open"/>
    <x v="1"/>
    <m/>
    <x v="2"/>
  </r>
  <r>
    <s v="T625"/>
    <x v="624"/>
    <s v="Billing"/>
    <s v="Medium"/>
    <s v="Closed"/>
    <x v="4"/>
    <n v="3"/>
    <x v="0"/>
  </r>
  <r>
    <s v="T626"/>
    <x v="625"/>
    <s v="Technical"/>
    <s v="Medium"/>
    <s v="Open"/>
    <x v="3"/>
    <m/>
    <x v="2"/>
  </r>
  <r>
    <s v="T627"/>
    <x v="626"/>
    <s v="Billing"/>
    <s v="Medium"/>
    <s v="Open"/>
    <x v="4"/>
    <m/>
    <x v="2"/>
  </r>
  <r>
    <s v="T628"/>
    <x v="627"/>
    <s v="Billing"/>
    <s v="Medium"/>
    <s v="Pending"/>
    <x v="6"/>
    <m/>
    <x v="2"/>
  </r>
  <r>
    <s v="T629"/>
    <x v="628"/>
    <s v="Billing"/>
    <s v="Medium"/>
    <s v="Open"/>
    <x v="3"/>
    <m/>
    <x v="2"/>
  </r>
  <r>
    <s v="T630"/>
    <x v="629"/>
    <s v="Technical"/>
    <s v="High"/>
    <s v="Open"/>
    <x v="4"/>
    <m/>
    <x v="2"/>
  </r>
  <r>
    <s v="T631"/>
    <x v="630"/>
    <s v="AccountAccess"/>
    <s v="High"/>
    <s v="Escalated"/>
    <x v="7"/>
    <m/>
    <x v="2"/>
  </r>
  <r>
    <s v="T632"/>
    <x v="631"/>
    <s v="Technical"/>
    <s v="Medium"/>
    <s v="Pending"/>
    <x v="5"/>
    <m/>
    <x v="2"/>
  </r>
  <r>
    <s v="T633"/>
    <x v="632"/>
    <s v="AccountAccess"/>
    <s v="High"/>
    <s v="Closed"/>
    <x v="5"/>
    <n v="7"/>
    <x v="0"/>
  </r>
  <r>
    <s v="T634"/>
    <x v="633"/>
    <s v="LoginIssues"/>
    <s v="High"/>
    <s v="Closed"/>
    <x v="5"/>
    <n v="19"/>
    <x v="3"/>
  </r>
  <r>
    <s v="T635"/>
    <x v="634"/>
    <s v="RefundRequest"/>
    <s v="Medium"/>
    <s v="Open"/>
    <x v="7"/>
    <m/>
    <x v="2"/>
  </r>
  <r>
    <s v="T636"/>
    <x v="635"/>
    <s v="RefundRequest"/>
    <s v="Medium"/>
    <s v="Pending"/>
    <x v="4"/>
    <m/>
    <x v="2"/>
  </r>
  <r>
    <s v="T637"/>
    <x v="636"/>
    <s v="Billing"/>
    <s v="Medium"/>
    <s v="Pending"/>
    <x v="3"/>
    <m/>
    <x v="2"/>
  </r>
  <r>
    <s v="T638"/>
    <x v="637"/>
    <s v="Technical"/>
    <s v="Medium"/>
    <s v="Closed"/>
    <x v="4"/>
    <n v="17"/>
    <x v="3"/>
  </r>
  <r>
    <s v="T639"/>
    <x v="638"/>
    <s v="LoginIssues"/>
    <s v="Medium"/>
    <s v="Closed"/>
    <x v="5"/>
    <n v="12"/>
    <x v="0"/>
  </r>
  <r>
    <s v="T640"/>
    <x v="639"/>
    <s v="Billing"/>
    <s v="Medium"/>
    <s v="Pending"/>
    <x v="6"/>
    <m/>
    <x v="2"/>
  </r>
  <r>
    <s v="T641"/>
    <x v="640"/>
    <s v="Technical"/>
    <s v="High"/>
    <s v="Closed"/>
    <x v="5"/>
    <n v="16"/>
    <x v="0"/>
  </r>
  <r>
    <s v="T642"/>
    <x v="641"/>
    <s v="Billing"/>
    <s v="Medium"/>
    <s v="Open"/>
    <x v="6"/>
    <m/>
    <x v="2"/>
  </r>
  <r>
    <s v="T643"/>
    <x v="642"/>
    <s v="Technical"/>
    <s v="Medium"/>
    <s v="Closed"/>
    <x v="1"/>
    <n v="41"/>
    <x v="3"/>
  </r>
  <r>
    <s v="T644"/>
    <x v="643"/>
    <s v="RefundRequest"/>
    <s v="Medium"/>
    <s v="Closed"/>
    <x v="6"/>
    <n v="5"/>
    <x v="3"/>
  </r>
  <r>
    <s v="T645"/>
    <x v="644"/>
    <s v="LoginIssues"/>
    <s v="High"/>
    <s v="Escalated"/>
    <x v="1"/>
    <m/>
    <x v="2"/>
  </r>
  <r>
    <s v="T646"/>
    <x v="645"/>
    <s v="LoginIssues"/>
    <s v="High"/>
    <s v="Closed"/>
    <x v="5"/>
    <n v="28"/>
    <x v="3"/>
  </r>
  <r>
    <s v="T647"/>
    <x v="646"/>
    <s v="Billing"/>
    <s v="Medium"/>
    <s v="Open"/>
    <x v="1"/>
    <m/>
    <x v="2"/>
  </r>
  <r>
    <s v="T648"/>
    <x v="647"/>
    <s v="LoginIssues"/>
    <s v="Medium"/>
    <s v="Pending"/>
    <x v="2"/>
    <m/>
    <x v="2"/>
  </r>
  <r>
    <s v="T649"/>
    <x v="648"/>
    <s v="LoginIssues"/>
    <s v="High"/>
    <s v="Escalated"/>
    <x v="5"/>
    <m/>
    <x v="2"/>
  </r>
  <r>
    <s v="T650"/>
    <x v="649"/>
    <s v="AccountAccess"/>
    <s v="High"/>
    <s v="Escalated"/>
    <x v="3"/>
    <m/>
    <x v="2"/>
  </r>
  <r>
    <s v="T651"/>
    <x v="650"/>
    <s v="LoginIssues"/>
    <s v="High"/>
    <s v="Escalated"/>
    <x v="0"/>
    <m/>
    <x v="2"/>
  </r>
  <r>
    <s v="T652"/>
    <x v="651"/>
    <s v="RefundRequest"/>
    <s v="Medium"/>
    <s v="Pending"/>
    <x v="5"/>
    <m/>
    <x v="2"/>
  </r>
  <r>
    <s v="T653"/>
    <x v="652"/>
    <s v="AccountAccess"/>
    <s v="High"/>
    <s v="Closed"/>
    <x v="1"/>
    <n v="2"/>
    <x v="3"/>
  </r>
  <r>
    <s v="T654"/>
    <x v="653"/>
    <s v="Billing"/>
    <s v="Medium"/>
    <s v="Open"/>
    <x v="4"/>
    <m/>
    <x v="2"/>
  </r>
  <r>
    <s v="T655"/>
    <x v="654"/>
    <s v="Technical"/>
    <s v="Medium"/>
    <s v="Closed"/>
    <x v="2"/>
    <n v="36"/>
    <x v="0"/>
  </r>
  <r>
    <s v="T656"/>
    <x v="655"/>
    <s v="Technical"/>
    <s v="High"/>
    <s v="Pending"/>
    <x v="7"/>
    <m/>
    <x v="2"/>
  </r>
  <r>
    <s v="T657"/>
    <x v="656"/>
    <s v="Technical"/>
    <s v="Medium"/>
    <s v="Open"/>
    <x v="3"/>
    <m/>
    <x v="2"/>
  </r>
  <r>
    <s v="T658"/>
    <x v="657"/>
    <s v="Technical"/>
    <s v="Medium"/>
    <s v="Open"/>
    <x v="1"/>
    <m/>
    <x v="2"/>
  </r>
  <r>
    <s v="T659"/>
    <x v="658"/>
    <s v="Technical"/>
    <s v="Medium"/>
    <s v="Escalated"/>
    <x v="1"/>
    <m/>
    <x v="2"/>
  </r>
  <r>
    <s v="T660"/>
    <x v="659"/>
    <s v="Billing"/>
    <s v="Medium"/>
    <s v="Escalated"/>
    <x v="0"/>
    <m/>
    <x v="2"/>
  </r>
  <r>
    <s v="T661"/>
    <x v="660"/>
    <s v="LoginIssues"/>
    <s v="High"/>
    <s v="Escalated"/>
    <x v="2"/>
    <m/>
    <x v="2"/>
  </r>
  <r>
    <s v="T662"/>
    <x v="661"/>
    <s v="RefundRequest"/>
    <s v="Medium"/>
    <s v="Closed"/>
    <x v="1"/>
    <n v="8"/>
    <x v="0"/>
  </r>
  <r>
    <s v="T663"/>
    <x v="662"/>
    <s v="Billing"/>
    <s v="Medium"/>
    <s v="Closed"/>
    <x v="6"/>
    <n v="5"/>
    <x v="0"/>
  </r>
  <r>
    <s v="T664"/>
    <x v="663"/>
    <s v="AccountAccess"/>
    <s v="High"/>
    <s v="Open"/>
    <x v="2"/>
    <m/>
    <x v="2"/>
  </r>
  <r>
    <s v="T665"/>
    <x v="664"/>
    <s v="LoginIssues"/>
    <s v="Medium"/>
    <s v="Closed"/>
    <x v="7"/>
    <n v="21"/>
    <x v="3"/>
  </r>
  <r>
    <s v="T666"/>
    <x v="665"/>
    <s v="Technical"/>
    <s v="High"/>
    <s v="Closed"/>
    <x v="2"/>
    <n v="35"/>
    <x v="3"/>
  </r>
  <r>
    <s v="T667"/>
    <x v="666"/>
    <s v="AccountAccess"/>
    <s v="High"/>
    <s v="Closed"/>
    <x v="3"/>
    <n v="7"/>
    <x v="0"/>
  </r>
  <r>
    <s v="T668"/>
    <x v="667"/>
    <s v="Technical"/>
    <s v="High"/>
    <s v="Escalated"/>
    <x v="2"/>
    <m/>
    <x v="2"/>
  </r>
  <r>
    <s v="T669"/>
    <x v="668"/>
    <s v="RefundRequest"/>
    <s v="Medium"/>
    <s v="Closed"/>
    <x v="1"/>
    <n v="8"/>
    <x v="0"/>
  </r>
  <r>
    <s v="T670"/>
    <x v="669"/>
    <s v="LoginIssues"/>
    <s v="Medium"/>
    <s v="Closed"/>
    <x v="4"/>
    <n v="37"/>
    <x v="3"/>
  </r>
  <r>
    <s v="T671"/>
    <x v="670"/>
    <s v="LoginIssues"/>
    <s v="High"/>
    <s v="Closed"/>
    <x v="0"/>
    <n v="48"/>
    <x v="3"/>
  </r>
  <r>
    <s v="T672"/>
    <x v="671"/>
    <s v="Billing"/>
    <s v="Medium"/>
    <s v="Closed"/>
    <x v="5"/>
    <n v="5"/>
    <x v="0"/>
  </r>
  <r>
    <s v="T673"/>
    <x v="672"/>
    <s v="Technical"/>
    <s v="High"/>
    <s v="Open"/>
    <x v="5"/>
    <m/>
    <x v="2"/>
  </r>
  <r>
    <s v="T674"/>
    <x v="673"/>
    <s v="RefundRequest"/>
    <s v="Medium"/>
    <s v="Escalated"/>
    <x v="2"/>
    <m/>
    <x v="2"/>
  </r>
  <r>
    <s v="T675"/>
    <x v="674"/>
    <s v="RefundRequest"/>
    <s v="Medium"/>
    <s v="Open"/>
    <x v="1"/>
    <m/>
    <x v="2"/>
  </r>
  <r>
    <s v="T676"/>
    <x v="675"/>
    <s v="AccountAccess"/>
    <s v="High"/>
    <s v="Escalated"/>
    <x v="6"/>
    <m/>
    <x v="2"/>
  </r>
  <r>
    <s v="T677"/>
    <x v="676"/>
    <s v="Technical"/>
    <s v="Medium"/>
    <s v="Pending"/>
    <x v="7"/>
    <m/>
    <x v="2"/>
  </r>
  <r>
    <s v="T678"/>
    <x v="677"/>
    <s v="RefundRequest"/>
    <s v="Medium"/>
    <s v="Open"/>
    <x v="0"/>
    <m/>
    <x v="2"/>
  </r>
  <r>
    <s v="T679"/>
    <x v="678"/>
    <s v="LoginIssues"/>
    <s v="High"/>
    <s v="Closed"/>
    <x v="0"/>
    <n v="46"/>
    <x v="3"/>
  </r>
  <r>
    <s v="T680"/>
    <x v="679"/>
    <s v="Technical"/>
    <s v="High"/>
    <s v="Closed"/>
    <x v="6"/>
    <n v="24"/>
    <x v="3"/>
  </r>
  <r>
    <s v="T681"/>
    <x v="680"/>
    <s v="LoginIssues"/>
    <s v="Medium"/>
    <s v="Escalated"/>
    <x v="1"/>
    <m/>
    <x v="2"/>
  </r>
  <r>
    <s v="T682"/>
    <x v="681"/>
    <s v="RefundRequest"/>
    <s v="Medium"/>
    <s v="Open"/>
    <x v="0"/>
    <m/>
    <x v="2"/>
  </r>
  <r>
    <s v="T683"/>
    <x v="682"/>
    <s v="Technical"/>
    <s v="High"/>
    <s v="Closed"/>
    <x v="6"/>
    <n v="29"/>
    <x v="3"/>
  </r>
  <r>
    <s v="T684"/>
    <x v="683"/>
    <s v="Billing"/>
    <s v="Medium"/>
    <s v="Open"/>
    <x v="2"/>
    <m/>
    <x v="2"/>
  </r>
  <r>
    <s v="T685"/>
    <x v="684"/>
    <s v="LoginIssues"/>
    <s v="High"/>
    <s v="Open"/>
    <x v="4"/>
    <m/>
    <x v="2"/>
  </r>
  <r>
    <s v="T686"/>
    <x v="685"/>
    <s v="Billing"/>
    <s v="Medium"/>
    <s v="Escalated"/>
    <x v="0"/>
    <m/>
    <x v="2"/>
  </r>
  <r>
    <s v="T687"/>
    <x v="686"/>
    <s v="Billing"/>
    <s v="Medium"/>
    <s v="Closed"/>
    <x v="3"/>
    <n v="4"/>
    <x v="3"/>
  </r>
  <r>
    <s v="T688"/>
    <x v="687"/>
    <s v="LoginIssues"/>
    <s v="High"/>
    <s v="Open"/>
    <x v="3"/>
    <m/>
    <x v="2"/>
  </r>
  <r>
    <s v="T689"/>
    <x v="688"/>
    <s v="AccountAccess"/>
    <s v="High"/>
    <s v="Open"/>
    <x v="1"/>
    <m/>
    <x v="2"/>
  </r>
  <r>
    <s v="T690"/>
    <x v="689"/>
    <s v="Billing"/>
    <s v="Medium"/>
    <s v="Open"/>
    <x v="7"/>
    <m/>
    <x v="2"/>
  </r>
  <r>
    <s v="T691"/>
    <x v="690"/>
    <s v="RefundRequest"/>
    <s v="Medium"/>
    <s v="Open"/>
    <x v="7"/>
    <m/>
    <x v="2"/>
  </r>
  <r>
    <s v="T692"/>
    <x v="691"/>
    <s v="LoginIssues"/>
    <s v="Medium"/>
    <s v="Pending"/>
    <x v="6"/>
    <m/>
    <x v="2"/>
  </r>
  <r>
    <s v="T693"/>
    <x v="692"/>
    <s v="LoginIssues"/>
    <s v="High"/>
    <s v="Pending"/>
    <x v="5"/>
    <m/>
    <x v="2"/>
  </r>
  <r>
    <s v="T694"/>
    <x v="693"/>
    <s v="AccountAccess"/>
    <s v="High"/>
    <s v="Pending"/>
    <x v="0"/>
    <m/>
    <x v="2"/>
  </r>
  <r>
    <s v="T695"/>
    <x v="694"/>
    <s v="AccountAccess"/>
    <s v="High"/>
    <s v="Escalated"/>
    <x v="3"/>
    <m/>
    <x v="2"/>
  </r>
  <r>
    <s v="T696"/>
    <x v="695"/>
    <s v="RefundRequest"/>
    <s v="Medium"/>
    <s v="Pending"/>
    <x v="4"/>
    <m/>
    <x v="2"/>
  </r>
  <r>
    <s v="T697"/>
    <x v="696"/>
    <s v="AccountAccess"/>
    <s v="High"/>
    <s v="Pending"/>
    <x v="5"/>
    <m/>
    <x v="2"/>
  </r>
  <r>
    <s v="T698"/>
    <x v="697"/>
    <s v="LoginIssues"/>
    <s v="Medium"/>
    <s v="Open"/>
    <x v="6"/>
    <m/>
    <x v="2"/>
  </r>
  <r>
    <s v="T699"/>
    <x v="698"/>
    <s v="LoginIssues"/>
    <s v="Medium"/>
    <s v="Closed"/>
    <x v="7"/>
    <n v="25"/>
    <x v="0"/>
  </r>
  <r>
    <s v="T700"/>
    <x v="699"/>
    <s v="LoginIssues"/>
    <s v="High"/>
    <s v="Open"/>
    <x v="4"/>
    <m/>
    <x v="2"/>
  </r>
  <r>
    <s v="T701"/>
    <x v="700"/>
    <s v="LoginIssues"/>
    <s v="Medium"/>
    <s v="Closed"/>
    <x v="0"/>
    <n v="47"/>
    <x v="0"/>
  </r>
  <r>
    <s v="T702"/>
    <x v="701"/>
    <s v="LoginIssues"/>
    <s v="High"/>
    <s v="Open"/>
    <x v="6"/>
    <m/>
    <x v="2"/>
  </r>
  <r>
    <s v="T703"/>
    <x v="702"/>
    <s v="Technical"/>
    <s v="High"/>
    <s v="Open"/>
    <x v="1"/>
    <m/>
    <x v="2"/>
  </r>
  <r>
    <s v="T704"/>
    <x v="703"/>
    <s v="AccountAccess"/>
    <s v="High"/>
    <s v="Closed"/>
    <x v="6"/>
    <n v="6"/>
    <x v="3"/>
  </r>
  <r>
    <s v="T705"/>
    <x v="704"/>
    <s v="Billing"/>
    <s v="Medium"/>
    <s v="Pending"/>
    <x v="6"/>
    <m/>
    <x v="2"/>
  </r>
  <r>
    <s v="T706"/>
    <x v="705"/>
    <s v="LoginIssues"/>
    <s v="Medium"/>
    <s v="Open"/>
    <x v="1"/>
    <m/>
    <x v="2"/>
  </r>
  <r>
    <s v="T707"/>
    <x v="706"/>
    <s v="RefundRequest"/>
    <s v="Medium"/>
    <s v="Open"/>
    <x v="6"/>
    <m/>
    <x v="2"/>
  </r>
  <r>
    <s v="T708"/>
    <x v="707"/>
    <s v="Billing"/>
    <s v="Medium"/>
    <s v="Open"/>
    <x v="4"/>
    <m/>
    <x v="2"/>
  </r>
  <r>
    <s v="T709"/>
    <x v="708"/>
    <s v="AccountAccess"/>
    <s v="High"/>
    <s v="Closed"/>
    <x v="6"/>
    <n v="7"/>
    <x v="3"/>
  </r>
  <r>
    <s v="T710"/>
    <x v="709"/>
    <s v="LoginIssues"/>
    <s v="Medium"/>
    <s v="Escalated"/>
    <x v="1"/>
    <m/>
    <x v="2"/>
  </r>
  <r>
    <s v="T711"/>
    <x v="710"/>
    <s v="LoginIssues"/>
    <s v="Medium"/>
    <s v="Closed"/>
    <x v="1"/>
    <n v="31"/>
    <x v="1"/>
  </r>
  <r>
    <s v="T712"/>
    <x v="711"/>
    <s v="RefundRequest"/>
    <s v="Medium"/>
    <s v="Open"/>
    <x v="0"/>
    <m/>
    <x v="2"/>
  </r>
  <r>
    <s v="T713"/>
    <x v="712"/>
    <s v="Billing"/>
    <s v="Medium"/>
    <s v="Open"/>
    <x v="4"/>
    <m/>
    <x v="2"/>
  </r>
  <r>
    <s v="T714"/>
    <x v="713"/>
    <s v="AccountAccess"/>
    <s v="High"/>
    <s v="Closed"/>
    <x v="2"/>
    <n v="8"/>
    <x v="0"/>
  </r>
  <r>
    <s v="T715"/>
    <x v="714"/>
    <s v="Technical"/>
    <s v="Medium"/>
    <s v="Open"/>
    <x v="2"/>
    <m/>
    <x v="2"/>
  </r>
  <r>
    <s v="T716"/>
    <x v="715"/>
    <s v="LoginIssues"/>
    <s v="High"/>
    <s v="Closed"/>
    <x v="2"/>
    <n v="17"/>
    <x v="3"/>
  </r>
  <r>
    <s v="T717"/>
    <x v="716"/>
    <s v="Billing"/>
    <s v="Medium"/>
    <s v="Pending"/>
    <x v="5"/>
    <m/>
    <x v="2"/>
  </r>
  <r>
    <s v="T718"/>
    <x v="717"/>
    <s v="LoginIssues"/>
    <s v="Medium"/>
    <s v="Open"/>
    <x v="4"/>
    <m/>
    <x v="2"/>
  </r>
  <r>
    <s v="T719"/>
    <x v="718"/>
    <s v="Technical"/>
    <s v="Medium"/>
    <s v="Closed"/>
    <x v="5"/>
    <n v="43"/>
    <x v="1"/>
  </r>
  <r>
    <s v="T720"/>
    <x v="719"/>
    <s v="Technical"/>
    <s v="High"/>
    <s v="Closed"/>
    <x v="1"/>
    <n v="26"/>
    <x v="0"/>
  </r>
  <r>
    <s v="T721"/>
    <x v="720"/>
    <s v="Billing"/>
    <s v="Medium"/>
    <s v="Open"/>
    <x v="0"/>
    <m/>
    <x v="2"/>
  </r>
  <r>
    <s v="T722"/>
    <x v="721"/>
    <s v="Technical"/>
    <s v="Medium"/>
    <s v="Closed"/>
    <x v="3"/>
    <n v="44"/>
    <x v="0"/>
  </r>
  <r>
    <s v="T723"/>
    <x v="722"/>
    <s v="Technical"/>
    <s v="Medium"/>
    <s v="Escalated"/>
    <x v="2"/>
    <m/>
    <x v="2"/>
  </r>
  <r>
    <s v="T724"/>
    <x v="723"/>
    <s v="LoginIssues"/>
    <s v="High"/>
    <s v="Pending"/>
    <x v="3"/>
    <m/>
    <x v="2"/>
  </r>
  <r>
    <s v="T725"/>
    <x v="724"/>
    <s v="RefundRequest"/>
    <s v="Medium"/>
    <s v="Pending"/>
    <x v="7"/>
    <m/>
    <x v="2"/>
  </r>
  <r>
    <s v="T726"/>
    <x v="725"/>
    <s v="LoginIssues"/>
    <s v="High"/>
    <s v="Closed"/>
    <x v="5"/>
    <n v="21"/>
    <x v="3"/>
  </r>
  <r>
    <s v="T727"/>
    <x v="726"/>
    <s v="Technical"/>
    <s v="Medium"/>
    <s v="Open"/>
    <x v="1"/>
    <m/>
    <x v="2"/>
  </r>
  <r>
    <s v="T728"/>
    <x v="727"/>
    <s v="LoginIssues"/>
    <s v="High"/>
    <s v="Open"/>
    <x v="3"/>
    <m/>
    <x v="2"/>
  </r>
  <r>
    <s v="T729"/>
    <x v="728"/>
    <s v="AccountAccess"/>
    <s v="High"/>
    <s v="Closed"/>
    <x v="5"/>
    <n v="8"/>
    <x v="0"/>
  </r>
  <r>
    <s v="T730"/>
    <x v="729"/>
    <s v="RefundRequest"/>
    <s v="Medium"/>
    <s v="Closed"/>
    <x v="1"/>
    <n v="14"/>
    <x v="3"/>
  </r>
  <r>
    <s v="T731"/>
    <x v="730"/>
    <s v="RefundRequest"/>
    <s v="Medium"/>
    <s v="Escalated"/>
    <x v="4"/>
    <m/>
    <x v="2"/>
  </r>
  <r>
    <s v="T732"/>
    <x v="731"/>
    <s v="LoginIssues"/>
    <s v="Medium"/>
    <s v="Open"/>
    <x v="6"/>
    <m/>
    <x v="2"/>
  </r>
  <r>
    <s v="T733"/>
    <x v="732"/>
    <s v="RefundRequest"/>
    <s v="Medium"/>
    <s v="Pending"/>
    <x v="6"/>
    <m/>
    <x v="2"/>
  </r>
  <r>
    <s v="T734"/>
    <x v="733"/>
    <s v="Technical"/>
    <s v="Medium"/>
    <s v="Pending"/>
    <x v="2"/>
    <m/>
    <x v="2"/>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3.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2.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C1A02D0C-39E7-4117-8817-452758788F2D}" name="PivotTable7"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atings">
  <location ref="L17:M22" firstHeaderRow="1" firstDataRow="1" firstDataCol="1"/>
  <pivotFields count="11">
    <pivotField dataField="1" showAll="0"/>
    <pivotField numFmtId="14" showAll="0">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t="default"/>
      </items>
    </pivotField>
    <pivotField showAll="0"/>
    <pivotField showAll="0"/>
    <pivotField showAll="0"/>
    <pivotField showAll="0"/>
    <pivotField showAll="0"/>
    <pivotField axis="axisRow" showAll="0">
      <items count="5">
        <item x="1"/>
        <item x="0"/>
        <item x="3"/>
        <item x="2"/>
        <item t="default"/>
      </items>
    </pivotField>
    <pivotField showAll="0" defaultSubtotal="0"/>
    <pivotField showAll="0" defaultSubtotal="0"/>
    <pivotField showAll="0" defaultSubtotal="0">
      <items count="5">
        <item x="0"/>
        <item x="1"/>
        <item x="2"/>
        <item x="3"/>
        <item x="4"/>
      </items>
    </pivotField>
  </pivotFields>
  <rowFields count="1">
    <field x="7"/>
  </rowFields>
  <rowItems count="5">
    <i>
      <x/>
    </i>
    <i>
      <x v="1"/>
    </i>
    <i>
      <x v="2"/>
    </i>
    <i>
      <x v="3"/>
    </i>
    <i t="grand">
      <x/>
    </i>
  </rowItems>
  <colItems count="1">
    <i/>
  </colItems>
  <dataFields count="1">
    <dataField name="Count of TicketID" fld="0" subtotal="count"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1520A8F4-DE18-4A1C-9C6E-13F81DAECE9A}" name="PivotTable6"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Months">
  <location ref="A31:B44" firstHeaderRow="1" firstDataRow="1" firstDataCol="1"/>
  <pivotFields count="11">
    <pivotField dataField="1" showAll="0"/>
    <pivotField axis="axisRow" numFmtId="14" showAll="0">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8"/>
    <field x="9"/>
    <field x="10"/>
    <field x="1"/>
  </rowFields>
  <rowItems count="13">
    <i>
      <x v="1"/>
    </i>
    <i>
      <x v="2"/>
    </i>
    <i>
      <x v="3"/>
    </i>
    <i>
      <x v="4"/>
    </i>
    <i>
      <x v="5"/>
    </i>
    <i>
      <x v="6"/>
    </i>
    <i>
      <x v="7"/>
    </i>
    <i>
      <x v="8"/>
    </i>
    <i>
      <x v="9"/>
    </i>
    <i>
      <x v="10"/>
    </i>
    <i>
      <x v="11"/>
    </i>
    <i>
      <x v="12"/>
    </i>
    <i t="grand">
      <x/>
    </i>
  </rowItems>
  <colItems count="1">
    <i/>
  </colItems>
  <dataFields count="1">
    <dataField name="Count of TicketID" fld="0" subtotal="count"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F5C12BD2-06AF-4BD5-BB57-304C1CECF3EF}" name="PivotTable5"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Agents">
  <location ref="A17:B26" firstHeaderRow="1" firstDataRow="1" firstDataCol="1"/>
  <pivotFields count="11">
    <pivotField showAll="0"/>
    <pivotField numFmtId="14" showAll="0">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t="default"/>
      </items>
    </pivotField>
    <pivotField showAll="0"/>
    <pivotField showAll="0"/>
    <pivotField showAll="0"/>
    <pivotField axis="axisRow" showAll="0">
      <items count="9">
        <item x="7"/>
        <item x="1"/>
        <item x="6"/>
        <item x="2"/>
        <item x="5"/>
        <item x="0"/>
        <item x="3"/>
        <item x="4"/>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9">
    <i>
      <x/>
    </i>
    <i>
      <x v="1"/>
    </i>
    <i>
      <x v="2"/>
    </i>
    <i>
      <x v="3"/>
    </i>
    <i>
      <x v="4"/>
    </i>
    <i>
      <x v="5"/>
    </i>
    <i>
      <x v="6"/>
    </i>
    <i>
      <x v="7"/>
    </i>
    <i t="grand">
      <x/>
    </i>
  </rowItems>
  <colItems count="1">
    <i/>
  </colItems>
  <dataFields count="1">
    <dataField name="Average of ResolutionHours" fld="6" subtotal="average" baseField="5"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CDA64706-302D-47E5-BB78-D498DAF5A26A}" name="PivotTable2" cacheId="2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Status">
  <location ref="L3:M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Ticket ID" fld="1" subtotal="count" baseField="0" baseItem="0"/>
  </dataFields>
  <chartFormats count="5">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0" count="1" selected="0">
            <x v="0"/>
          </reference>
        </references>
      </pivotArea>
    </chartFormat>
    <chartFormat chart="24" format="8">
      <pivotArea type="data" outline="0" fieldPosition="0">
        <references count="2">
          <reference field="4294967294" count="1" selected="0">
            <x v="0"/>
          </reference>
          <reference field="0" count="1" selected="0">
            <x v="1"/>
          </reference>
        </references>
      </pivotArea>
    </chartFormat>
    <chartFormat chart="24" format="9">
      <pivotArea type="data" outline="0" fieldPosition="0">
        <references count="2">
          <reference field="4294967294" count="1" selected="0">
            <x v="0"/>
          </reference>
          <reference field="0" count="1" selected="0">
            <x v="2"/>
          </reference>
        </references>
      </pivotArea>
    </chartFormat>
    <chartFormat chart="24" format="10">
      <pivotArea type="data" outline="0" fieldPosition="0">
        <references count="2">
          <reference field="4294967294" count="1" selected="0">
            <x v="0"/>
          </reference>
          <reference field="0" count="1" selected="0">
            <x v="3"/>
          </reference>
        </references>
      </pivotArea>
    </chartFormat>
  </chartFormats>
  <pivotHierarchies count="12">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21"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H$73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D489C0AC-8CB3-4351-AE09-3986A4E2A615}" name="PivotTable1" cacheId="2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Issues">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Ticket ID"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12">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21"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H$73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ategory" xr10:uid="{96DF6DB1-5394-47CE-8BD3-2ADCE6263025}" sourceName="[Range].[Category]">
  <pivotTables>
    <pivotTable tabId="3" name="PivotTable1"/>
    <pivotTable tabId="3" name="PivotTable2"/>
  </pivotTables>
  <data>
    <olap pivotCacheId="384527110">
      <levels count="2">
        <level uniqueName="[Range].[Category].[(All)]" sourceCaption="(All)" count="0"/>
        <level uniqueName="[Range].[Category].[Category]" sourceCaption="Category" count="5">
          <ranges>
            <range startItem="0">
              <i n="[Range].[Category].&amp;[Account Access]" c="Account Access"/>
              <i n="[Range].[Category].&amp;[Billing]" c="Billing"/>
              <i n="[Range].[Category].&amp;[Login Issues]" c="Login Issues"/>
              <i n="[Range].[Category].&amp;[Refund Request]" c="Refund Request"/>
              <i n="[Range].[Category].&amp;[Technical]" c="Technical"/>
            </range>
          </ranges>
        </level>
      </levels>
      <selections count="1">
        <selection n="[Range].[Category].[All]"/>
      </selections>
    </olap>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Agent" xr10:uid="{E96287EA-0FED-4CF0-ABDE-AB500ACDE654}" sourceName="[Range].[Agent]">
  <pivotTables>
    <pivotTable tabId="3" name="PivotTable1"/>
    <pivotTable tabId="3" name="PivotTable2"/>
  </pivotTables>
  <data>
    <olap pivotCacheId="384527110">
      <levels count="2">
        <level uniqueName="[Range].[Agent].[(All)]" sourceCaption="(All)" count="0"/>
        <level uniqueName="[Range].[Agent].[Agent]" sourceCaption="Agent" count="8">
          <ranges>
            <range startItem="0">
              <i n="[Range].[Agent].&amp;[Emma]" c="Emma"/>
              <i n="[Range].[Agent].&amp;[James]" c="James"/>
              <i n="[Range].[Agent].&amp;[John]" c="John"/>
              <i n="[Range].[Agent].&amp;[Lea]" c="Lea"/>
              <i n="[Range].[Agent].&amp;[Mike]" c="Mike"/>
              <i n="[Range].[Agent].&amp;[Sarah]" c="Sarah"/>
              <i n="[Range].[Agent].&amp;[William]" c="William"/>
              <i n="[Range].[Agent].&amp;[Zoey]" c="Zoey"/>
            </range>
          </ranges>
        </level>
      </levels>
      <selections count="1">
        <selection n="[Range].[Agent].[All]"/>
      </selections>
    </olap>
  </data>
</slicerCacheDefinition>
</file>

<file path=xl/slicerCaches/slicerCache3.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Priority" xr10:uid="{89E09CAD-44A1-40D7-B7E2-2A19F884E5AE}" sourceName="[Range].[Priority]">
  <pivotTables>
    <pivotTable tabId="3" name="PivotTable1"/>
    <pivotTable tabId="3" name="PivotTable2"/>
  </pivotTables>
  <data>
    <olap pivotCacheId="384527110">
      <levels count="2">
        <level uniqueName="[Range].[Priority].[(All)]" sourceCaption="(All)" count="0"/>
        <level uniqueName="[Range].[Priority].[Priority]" sourceCaption="Priority" count="2">
          <ranges>
            <range startItem="0">
              <i n="[Range].[Priority].&amp;[High]" c="High"/>
              <i n="[Range].[Priority].&amp;[Medium]" c="Medium"/>
            </range>
          </ranges>
        </level>
      </levels>
      <selections count="1">
        <selection n="[Range].[Priority].[All]"/>
      </selections>
    </olap>
  </data>
</slicerCacheDefinition>
</file>

<file path=xl/slicerCaches/slicerCache4.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Status" xr10:uid="{EFC1334E-FD41-4DAF-92CB-B94460FE9CF6}" sourceName="[Range].[Status]">
  <pivotTables>
    <pivotTable tabId="3" name="PivotTable1"/>
    <pivotTable tabId="3" name="PivotTable2"/>
  </pivotTables>
  <data>
    <olap pivotCacheId="384527110">
      <levels count="2">
        <level uniqueName="[Range].[Status].[(All)]" sourceCaption="(All)" count="0"/>
        <level uniqueName="[Range].[Status].[Status]" sourceCaption="Status" count="4">
          <ranges>
            <range startItem="0">
              <i n="[Range].[Status].&amp;[Closed]" c="Closed"/>
              <i n="[Range].[Status].&amp;[Escalated]" c="Escalated"/>
              <i n="[Range].[Status].&amp;[Open]" c="Open"/>
              <i n="[Range].[Status].&amp;[Pending]" c="Pending"/>
            </range>
          </ranges>
        </level>
      </levels>
      <selections count="1">
        <selection n="[Range].[Status].[All]"/>
      </selections>
    </olap>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Category" xr10:uid="{8180ABE7-2233-424C-978D-3E89FCDF3C31}" cache="Slicer_Category" caption="Category" level="1" rowHeight="234950"/>
  <slicer name="Agent" xr10:uid="{ED12B002-E954-4882-AFB1-E273B48EB787}" cache="Slicer_Agent" caption="Agent" startItem="1" level="1" rowHeight="234950"/>
  <slicer name="Priority" xr10:uid="{B983FB03-1D23-4496-836E-A0B02507EDB6}" cache="Slicer_Priority" caption="Priority" level="1" rowHeight="234950"/>
  <slicer name="Status" xr10:uid="{5DD26F31-98A9-427A-9F04-7706DFF6D772}" cache="Slicer_Status" caption="Status" level="1" rowHeight="234950"/>
</slicer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purl.oclc.org/ooxml/officeDocument/relationships/pivotTable" Target="../pivotTables/pivotTable3.xml"/><Relationship Id="rId7" Type="http://schemas.microsoft.com/office/2007/relationships/slicer" Target="../slicers/slicer1.xml"/><Relationship Id="rId2" Type="http://purl.oclc.org/ooxml/officeDocument/relationships/pivotTable" Target="../pivotTables/pivotTable2.xml"/><Relationship Id="rId1" Type="http://purl.oclc.org/ooxml/officeDocument/relationships/pivotTable" Target="../pivotTables/pivotTable1.xml"/><Relationship Id="rId6" Type="http://purl.oclc.org/ooxml/officeDocument/relationships/drawing" Target="../drawings/drawing1.xml"/><Relationship Id="rId5" Type="http://purl.oclc.org/ooxml/officeDocument/relationships/pivotTable" Target="../pivotTables/pivotTable5.xml"/><Relationship Id="rId4" Type="http://purl.oclc.org/ooxml/officeDocument/relationships/pivotTable" Target="../pivotTables/pivotTable4.xml"/></Relationships>
</file>

<file path=xl/worksheets/_rels/sheet3.xml.rels><?xml version="1.0" encoding="UTF-8" standalone="yes"?>
<Relationships xmlns="http://schemas.openxmlformats.org/package/2006/relationships"><Relationship Id="rId1" Type="http://purl.oclc.org/ooxml/officeDocument/relationships/drawing" Target="../drawings/drawing2.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965A4-A6FE-4051-85D0-2152E2859EB7}">
  <dimension ref="A1:K735"/>
  <sheetViews>
    <sheetView workbookViewId="0">
      <selection activeCell="M12" sqref="M12"/>
    </sheetView>
  </sheetViews>
  <sheetFormatPr defaultRowHeight="14.4" x14ac:dyDescent="0.3"/>
  <cols>
    <col min="2" max="2" width="10.33203125" style="4" bestFit="1" customWidth="1"/>
    <col min="3" max="3" width="13.88671875" bestFit="1" customWidth="1"/>
    <col min="7" max="7" width="15" style="9" bestFit="1" customWidth="1"/>
  </cols>
  <sheetData>
    <row r="1" spans="1:11" x14ac:dyDescent="0.3">
      <c r="A1" s="2" t="s">
        <v>763</v>
      </c>
      <c r="B1" s="3" t="s">
        <v>0</v>
      </c>
      <c r="C1" s="2" t="s">
        <v>1</v>
      </c>
      <c r="D1" s="2" t="s">
        <v>2</v>
      </c>
      <c r="E1" s="2" t="s">
        <v>3</v>
      </c>
      <c r="F1" s="2" t="s">
        <v>4</v>
      </c>
      <c r="G1" s="8" t="s">
        <v>764</v>
      </c>
      <c r="H1" s="2" t="s">
        <v>5</v>
      </c>
      <c r="K1" s="2"/>
    </row>
    <row r="2" spans="1:11" x14ac:dyDescent="0.3">
      <c r="A2" t="s">
        <v>6</v>
      </c>
      <c r="B2" s="4" t="d">
        <v>2025-01-01</v>
      </c>
      <c r="C2" t="s">
        <v>741</v>
      </c>
      <c r="D2" t="s">
        <v>746</v>
      </c>
      <c r="E2" t="s">
        <v>755</v>
      </c>
      <c r="F2" t="s">
        <v>747</v>
      </c>
      <c r="G2" s="9">
        <v>27</v>
      </c>
      <c r="H2">
        <v>4</v>
      </c>
    </row>
    <row r="3" spans="1:11" x14ac:dyDescent="0.3">
      <c r="A3" t="s">
        <v>7</v>
      </c>
      <c r="B3" s="4" t="d">
        <v>2025-01-02</v>
      </c>
      <c r="C3" t="s">
        <v>765</v>
      </c>
      <c r="D3" t="s">
        <v>745</v>
      </c>
      <c r="E3" t="s">
        <v>755</v>
      </c>
      <c r="F3" t="s">
        <v>751</v>
      </c>
      <c r="G3" s="9">
        <v>6</v>
      </c>
      <c r="H3">
        <v>3</v>
      </c>
    </row>
    <row r="4" spans="1:11" x14ac:dyDescent="0.3">
      <c r="A4" t="s">
        <v>8</v>
      </c>
      <c r="B4" s="4" t="d">
        <v>2025-01-03</v>
      </c>
      <c r="C4" t="s">
        <v>765</v>
      </c>
      <c r="D4" t="s">
        <v>745</v>
      </c>
      <c r="E4" t="s">
        <v>756</v>
      </c>
      <c r="F4" t="s">
        <v>752</v>
      </c>
      <c r="H4" t="s">
        <v>759</v>
      </c>
    </row>
    <row r="5" spans="1:11" x14ac:dyDescent="0.3">
      <c r="A5" t="s">
        <v>9</v>
      </c>
      <c r="B5" s="4" t="d">
        <v>2025-01-04</v>
      </c>
      <c r="C5" t="s">
        <v>765</v>
      </c>
      <c r="D5" t="s">
        <v>745</v>
      </c>
      <c r="E5" t="s">
        <v>755</v>
      </c>
      <c r="F5" t="s">
        <v>752</v>
      </c>
      <c r="G5" s="9">
        <v>6</v>
      </c>
      <c r="H5">
        <v>3</v>
      </c>
    </row>
    <row r="6" spans="1:11" x14ac:dyDescent="0.3">
      <c r="A6" t="s">
        <v>10</v>
      </c>
      <c r="B6" s="4" t="d">
        <v>2025-01-05</v>
      </c>
      <c r="C6" t="s">
        <v>741</v>
      </c>
      <c r="D6" t="s">
        <v>745</v>
      </c>
      <c r="E6" t="s">
        <v>756</v>
      </c>
      <c r="F6" t="s">
        <v>753</v>
      </c>
      <c r="H6" t="s">
        <v>759</v>
      </c>
    </row>
    <row r="7" spans="1:11" x14ac:dyDescent="0.3">
      <c r="A7" t="s">
        <v>11</v>
      </c>
      <c r="B7" s="4" t="d">
        <v>2025-01-06</v>
      </c>
      <c r="C7" t="s">
        <v>766</v>
      </c>
      <c r="D7" t="s">
        <v>745</v>
      </c>
      <c r="E7" t="s">
        <v>756</v>
      </c>
      <c r="F7" t="s">
        <v>754</v>
      </c>
      <c r="H7" t="s">
        <v>759</v>
      </c>
    </row>
    <row r="8" spans="1:11" x14ac:dyDescent="0.3">
      <c r="A8" t="s">
        <v>12</v>
      </c>
      <c r="B8" s="4" t="d">
        <v>2025-01-07</v>
      </c>
      <c r="C8" t="s">
        <v>740</v>
      </c>
      <c r="D8" t="s">
        <v>746</v>
      </c>
      <c r="E8" t="s">
        <v>756</v>
      </c>
      <c r="F8" t="s">
        <v>747</v>
      </c>
      <c r="H8" t="s">
        <v>759</v>
      </c>
    </row>
    <row r="9" spans="1:11" x14ac:dyDescent="0.3">
      <c r="A9" t="s">
        <v>13</v>
      </c>
      <c r="B9" s="4" t="d">
        <v>2025-01-08</v>
      </c>
      <c r="C9" t="s">
        <v>765</v>
      </c>
      <c r="D9" t="s">
        <v>745</v>
      </c>
      <c r="E9" t="s">
        <v>758</v>
      </c>
      <c r="F9" t="s">
        <v>754</v>
      </c>
      <c r="H9" t="s">
        <v>759</v>
      </c>
    </row>
    <row r="10" spans="1:11" x14ac:dyDescent="0.3">
      <c r="A10" t="s">
        <v>14</v>
      </c>
      <c r="B10" s="4" t="d">
        <v>2025-01-09</v>
      </c>
      <c r="C10" t="s">
        <v>741</v>
      </c>
      <c r="D10" t="s">
        <v>746</v>
      </c>
      <c r="E10" t="s">
        <v>755</v>
      </c>
      <c r="F10" t="s">
        <v>750</v>
      </c>
      <c r="G10" s="9">
        <v>14</v>
      </c>
      <c r="H10">
        <v>3</v>
      </c>
    </row>
    <row r="11" spans="1:11" x14ac:dyDescent="0.3">
      <c r="A11" t="s">
        <v>15</v>
      </c>
      <c r="B11" s="4" t="d">
        <v>2025-01-10</v>
      </c>
      <c r="C11" t="s">
        <v>741</v>
      </c>
      <c r="D11" t="s">
        <v>746</v>
      </c>
      <c r="E11" t="s">
        <v>755</v>
      </c>
      <c r="F11" t="s">
        <v>751</v>
      </c>
      <c r="G11" s="9">
        <v>23</v>
      </c>
      <c r="H11">
        <v>4</v>
      </c>
    </row>
    <row r="12" spans="1:11" x14ac:dyDescent="0.3">
      <c r="A12" t="s">
        <v>16</v>
      </c>
      <c r="B12" s="4" t="d">
        <v>2025-01-11</v>
      </c>
      <c r="C12" t="s">
        <v>766</v>
      </c>
      <c r="D12" t="s">
        <v>746</v>
      </c>
      <c r="E12" t="s">
        <v>756</v>
      </c>
      <c r="F12" t="s">
        <v>753</v>
      </c>
      <c r="H12" t="s">
        <v>759</v>
      </c>
    </row>
    <row r="13" spans="1:11" x14ac:dyDescent="0.3">
      <c r="A13" t="s">
        <v>17</v>
      </c>
      <c r="B13" s="4" t="d">
        <v>2025-01-12</v>
      </c>
      <c r="C13" t="s">
        <v>767</v>
      </c>
      <c r="D13" t="s">
        <v>746</v>
      </c>
      <c r="E13" t="s">
        <v>757</v>
      </c>
      <c r="F13" t="s">
        <v>750</v>
      </c>
      <c r="H13" t="s">
        <v>759</v>
      </c>
    </row>
    <row r="14" spans="1:11" x14ac:dyDescent="0.3">
      <c r="A14" t="s">
        <v>18</v>
      </c>
      <c r="B14" s="4" t="d">
        <v>2025-01-13</v>
      </c>
      <c r="C14" t="s">
        <v>766</v>
      </c>
      <c r="D14" t="s">
        <v>745</v>
      </c>
      <c r="E14" t="s">
        <v>758</v>
      </c>
      <c r="F14" t="s">
        <v>753</v>
      </c>
      <c r="H14" t="s">
        <v>759</v>
      </c>
    </row>
    <row r="15" spans="1:11" x14ac:dyDescent="0.3">
      <c r="A15" t="s">
        <v>19</v>
      </c>
      <c r="B15" s="4" t="d">
        <v>2025-01-14</v>
      </c>
      <c r="C15" t="s">
        <v>767</v>
      </c>
      <c r="D15" t="s">
        <v>746</v>
      </c>
      <c r="E15" t="s">
        <v>755</v>
      </c>
      <c r="F15" t="s">
        <v>753</v>
      </c>
      <c r="G15" s="9">
        <v>10</v>
      </c>
      <c r="H15">
        <v>4</v>
      </c>
    </row>
    <row r="16" spans="1:11" x14ac:dyDescent="0.3">
      <c r="A16" t="s">
        <v>20</v>
      </c>
      <c r="B16" s="4" t="d">
        <v>2025-01-15</v>
      </c>
      <c r="C16" t="s">
        <v>741</v>
      </c>
      <c r="D16" t="s">
        <v>745</v>
      </c>
      <c r="E16" t="s">
        <v>756</v>
      </c>
      <c r="F16" t="s">
        <v>751</v>
      </c>
      <c r="H16" t="s">
        <v>759</v>
      </c>
    </row>
    <row r="17" spans="1:8" x14ac:dyDescent="0.3">
      <c r="A17" t="s">
        <v>21</v>
      </c>
      <c r="B17" s="4" t="d">
        <v>2025-01-16</v>
      </c>
      <c r="C17" t="s">
        <v>767</v>
      </c>
      <c r="D17" t="s">
        <v>746</v>
      </c>
      <c r="E17" t="s">
        <v>756</v>
      </c>
      <c r="F17" t="s">
        <v>754</v>
      </c>
      <c r="H17" t="s">
        <v>759</v>
      </c>
    </row>
    <row r="18" spans="1:8" x14ac:dyDescent="0.3">
      <c r="A18" t="s">
        <v>22</v>
      </c>
      <c r="B18" s="4" t="d">
        <v>2025-01-17</v>
      </c>
      <c r="C18" t="s">
        <v>765</v>
      </c>
      <c r="D18" t="s">
        <v>745</v>
      </c>
      <c r="E18" t="s">
        <v>756</v>
      </c>
      <c r="F18" t="s">
        <v>748</v>
      </c>
      <c r="H18" t="s">
        <v>759</v>
      </c>
    </row>
    <row r="19" spans="1:8" x14ac:dyDescent="0.3">
      <c r="A19" t="s">
        <v>23</v>
      </c>
      <c r="B19" s="4" t="d">
        <v>2025-01-18</v>
      </c>
      <c r="C19" t="s">
        <v>766</v>
      </c>
      <c r="D19" t="s">
        <v>746</v>
      </c>
      <c r="E19" t="s">
        <v>758</v>
      </c>
      <c r="F19" t="s">
        <v>749</v>
      </c>
      <c r="H19" t="s">
        <v>759</v>
      </c>
    </row>
    <row r="20" spans="1:8" x14ac:dyDescent="0.3">
      <c r="A20" t="s">
        <v>24</v>
      </c>
      <c r="B20" s="4" t="d">
        <v>2025-01-19</v>
      </c>
      <c r="C20" t="s">
        <v>765</v>
      </c>
      <c r="D20" t="s">
        <v>745</v>
      </c>
      <c r="E20" t="s">
        <v>755</v>
      </c>
      <c r="F20" t="s">
        <v>751</v>
      </c>
      <c r="G20" s="9">
        <v>3</v>
      </c>
      <c r="H20">
        <v>5</v>
      </c>
    </row>
    <row r="21" spans="1:8" x14ac:dyDescent="0.3">
      <c r="A21" t="s">
        <v>25</v>
      </c>
      <c r="B21" s="4" t="d">
        <v>2025-01-20</v>
      </c>
      <c r="C21" t="s">
        <v>766</v>
      </c>
      <c r="D21" t="s">
        <v>746</v>
      </c>
      <c r="E21" t="s">
        <v>755</v>
      </c>
      <c r="F21" t="s">
        <v>749</v>
      </c>
      <c r="G21" s="9">
        <v>38</v>
      </c>
      <c r="H21">
        <v>5</v>
      </c>
    </row>
    <row r="22" spans="1:8" x14ac:dyDescent="0.3">
      <c r="A22" t="s">
        <v>26</v>
      </c>
      <c r="B22" s="4" t="d">
        <v>2025-01-21</v>
      </c>
      <c r="C22" t="s">
        <v>765</v>
      </c>
      <c r="D22" t="s">
        <v>745</v>
      </c>
      <c r="E22" t="s">
        <v>755</v>
      </c>
      <c r="F22" t="s">
        <v>752</v>
      </c>
      <c r="G22" s="9">
        <v>7</v>
      </c>
      <c r="H22">
        <v>5</v>
      </c>
    </row>
    <row r="23" spans="1:8" x14ac:dyDescent="0.3">
      <c r="A23" t="s">
        <v>27</v>
      </c>
      <c r="B23" s="4" t="d">
        <v>2025-01-22</v>
      </c>
      <c r="C23" t="s">
        <v>765</v>
      </c>
      <c r="D23" t="s">
        <v>745</v>
      </c>
      <c r="E23" t="s">
        <v>755</v>
      </c>
      <c r="F23" t="s">
        <v>748</v>
      </c>
      <c r="G23" s="9">
        <v>4</v>
      </c>
      <c r="H23">
        <v>4</v>
      </c>
    </row>
    <row r="24" spans="1:8" x14ac:dyDescent="0.3">
      <c r="A24" t="s">
        <v>28</v>
      </c>
      <c r="B24" s="4" t="d">
        <v>2025-01-23</v>
      </c>
      <c r="C24" t="s">
        <v>765</v>
      </c>
      <c r="D24" t="s">
        <v>745</v>
      </c>
      <c r="E24" t="s">
        <v>755</v>
      </c>
      <c r="F24" t="s">
        <v>752</v>
      </c>
      <c r="G24" s="9">
        <v>3</v>
      </c>
      <c r="H24">
        <v>4</v>
      </c>
    </row>
    <row r="25" spans="1:8" x14ac:dyDescent="0.3">
      <c r="A25" t="s">
        <v>29</v>
      </c>
      <c r="B25" s="4" t="d">
        <v>2025-01-24</v>
      </c>
      <c r="C25" t="s">
        <v>767</v>
      </c>
      <c r="D25" t="s">
        <v>746</v>
      </c>
      <c r="E25" t="s">
        <v>755</v>
      </c>
      <c r="F25" t="s">
        <v>752</v>
      </c>
      <c r="G25" s="9">
        <v>11</v>
      </c>
      <c r="H25">
        <v>3</v>
      </c>
    </row>
    <row r="26" spans="1:8" x14ac:dyDescent="0.3">
      <c r="A26" t="s">
        <v>30</v>
      </c>
      <c r="B26" s="4" t="d">
        <v>2025-01-25</v>
      </c>
      <c r="C26" t="s">
        <v>765</v>
      </c>
      <c r="D26" t="s">
        <v>745</v>
      </c>
      <c r="E26" t="s">
        <v>755</v>
      </c>
      <c r="F26" t="s">
        <v>753</v>
      </c>
      <c r="G26" s="9">
        <v>2</v>
      </c>
      <c r="H26">
        <v>3</v>
      </c>
    </row>
    <row r="27" spans="1:8" x14ac:dyDescent="0.3">
      <c r="A27" t="s">
        <v>31</v>
      </c>
      <c r="B27" s="4" t="d">
        <v>2025-01-26</v>
      </c>
      <c r="C27" t="s">
        <v>765</v>
      </c>
      <c r="D27" t="s">
        <v>745</v>
      </c>
      <c r="E27" t="s">
        <v>756</v>
      </c>
      <c r="F27" t="s">
        <v>749</v>
      </c>
      <c r="H27" t="s">
        <v>759</v>
      </c>
    </row>
    <row r="28" spans="1:8" x14ac:dyDescent="0.3">
      <c r="A28" t="s">
        <v>32</v>
      </c>
      <c r="B28" s="4" t="d">
        <v>2025-01-27</v>
      </c>
      <c r="C28" t="s">
        <v>740</v>
      </c>
      <c r="D28" t="s">
        <v>746</v>
      </c>
      <c r="E28" t="s">
        <v>755</v>
      </c>
      <c r="F28" t="s">
        <v>751</v>
      </c>
      <c r="G28" s="9">
        <v>4</v>
      </c>
      <c r="H28">
        <v>3</v>
      </c>
    </row>
    <row r="29" spans="1:8" x14ac:dyDescent="0.3">
      <c r="A29" t="s">
        <v>33</v>
      </c>
      <c r="B29" s="4" t="d">
        <v>2025-01-28</v>
      </c>
      <c r="C29" t="s">
        <v>766</v>
      </c>
      <c r="D29" t="s">
        <v>746</v>
      </c>
      <c r="E29" t="s">
        <v>756</v>
      </c>
      <c r="F29" t="s">
        <v>754</v>
      </c>
      <c r="H29" t="s">
        <v>759</v>
      </c>
    </row>
    <row r="30" spans="1:8" x14ac:dyDescent="0.3">
      <c r="A30" t="s">
        <v>34</v>
      </c>
      <c r="B30" s="4" t="d">
        <v>2025-01-29</v>
      </c>
      <c r="C30" t="s">
        <v>740</v>
      </c>
      <c r="D30" t="s">
        <v>746</v>
      </c>
      <c r="E30" t="s">
        <v>758</v>
      </c>
      <c r="F30" t="s">
        <v>748</v>
      </c>
      <c r="H30" t="s">
        <v>759</v>
      </c>
    </row>
    <row r="31" spans="1:8" x14ac:dyDescent="0.3">
      <c r="A31" t="s">
        <v>35</v>
      </c>
      <c r="B31" s="4" t="d">
        <v>2025-01-30</v>
      </c>
      <c r="C31" t="s">
        <v>740</v>
      </c>
      <c r="D31" t="s">
        <v>746</v>
      </c>
      <c r="E31" t="s">
        <v>758</v>
      </c>
      <c r="F31" t="s">
        <v>750</v>
      </c>
      <c r="H31" t="s">
        <v>759</v>
      </c>
    </row>
    <row r="32" spans="1:8" x14ac:dyDescent="0.3">
      <c r="A32" t="s">
        <v>36</v>
      </c>
      <c r="B32" s="4" t="d">
        <v>2025-01-31</v>
      </c>
      <c r="C32" t="s">
        <v>765</v>
      </c>
      <c r="D32" t="s">
        <v>745</v>
      </c>
      <c r="E32" t="s">
        <v>758</v>
      </c>
      <c r="F32" t="s">
        <v>752</v>
      </c>
      <c r="H32" t="s">
        <v>759</v>
      </c>
    </row>
    <row r="33" spans="1:8" x14ac:dyDescent="0.3">
      <c r="A33" t="s">
        <v>37</v>
      </c>
      <c r="B33" s="4" t="d">
        <v>2025-02-01</v>
      </c>
      <c r="C33" t="s">
        <v>767</v>
      </c>
      <c r="D33" t="s">
        <v>746</v>
      </c>
      <c r="E33" t="s">
        <v>756</v>
      </c>
      <c r="F33" t="s">
        <v>753</v>
      </c>
      <c r="H33" t="s">
        <v>759</v>
      </c>
    </row>
    <row r="34" spans="1:8" x14ac:dyDescent="0.3">
      <c r="A34" t="s">
        <v>38</v>
      </c>
      <c r="B34" s="4" t="d">
        <v>2025-02-02</v>
      </c>
      <c r="C34" t="s">
        <v>740</v>
      </c>
      <c r="D34" t="s">
        <v>746</v>
      </c>
      <c r="E34" t="s">
        <v>755</v>
      </c>
      <c r="F34" t="s">
        <v>750</v>
      </c>
      <c r="G34" s="9">
        <v>3</v>
      </c>
      <c r="H34">
        <v>3</v>
      </c>
    </row>
    <row r="35" spans="1:8" x14ac:dyDescent="0.3">
      <c r="A35" t="s">
        <v>39</v>
      </c>
      <c r="B35" s="4" t="d">
        <v>2025-02-03</v>
      </c>
      <c r="C35" t="s">
        <v>740</v>
      </c>
      <c r="D35" t="s">
        <v>746</v>
      </c>
      <c r="E35" t="s">
        <v>757</v>
      </c>
      <c r="F35" t="s">
        <v>751</v>
      </c>
      <c r="H35" t="s">
        <v>759</v>
      </c>
    </row>
    <row r="36" spans="1:8" x14ac:dyDescent="0.3">
      <c r="A36" t="s">
        <v>40</v>
      </c>
      <c r="B36" s="4" t="d">
        <v>2025-02-04</v>
      </c>
      <c r="C36" t="s">
        <v>765</v>
      </c>
      <c r="D36" t="s">
        <v>745</v>
      </c>
      <c r="E36" t="s">
        <v>756</v>
      </c>
      <c r="F36" t="s">
        <v>750</v>
      </c>
      <c r="H36" t="s">
        <v>759</v>
      </c>
    </row>
    <row r="37" spans="1:8" x14ac:dyDescent="0.3">
      <c r="A37" t="s">
        <v>41</v>
      </c>
      <c r="B37" s="4" t="d">
        <v>2025-02-05</v>
      </c>
      <c r="C37" t="s">
        <v>740</v>
      </c>
      <c r="D37" t="s">
        <v>746</v>
      </c>
      <c r="E37" t="s">
        <v>755</v>
      </c>
      <c r="F37" t="s">
        <v>750</v>
      </c>
      <c r="G37" s="9">
        <v>6</v>
      </c>
      <c r="H37">
        <v>4</v>
      </c>
    </row>
    <row r="38" spans="1:8" x14ac:dyDescent="0.3">
      <c r="A38" t="s">
        <v>42</v>
      </c>
      <c r="B38" s="4" t="d">
        <v>2025-02-06</v>
      </c>
      <c r="C38" t="s">
        <v>766</v>
      </c>
      <c r="D38" t="s">
        <v>746</v>
      </c>
      <c r="E38" t="s">
        <v>756</v>
      </c>
      <c r="F38" t="s">
        <v>749</v>
      </c>
      <c r="H38" t="s">
        <v>759</v>
      </c>
    </row>
    <row r="39" spans="1:8" x14ac:dyDescent="0.3">
      <c r="A39" t="s">
        <v>43</v>
      </c>
      <c r="B39" s="4" t="d">
        <v>2025-02-07</v>
      </c>
      <c r="C39" t="s">
        <v>741</v>
      </c>
      <c r="D39" t="s">
        <v>745</v>
      </c>
      <c r="E39" t="s">
        <v>758</v>
      </c>
      <c r="F39" t="s">
        <v>747</v>
      </c>
      <c r="H39" t="s">
        <v>759</v>
      </c>
    </row>
    <row r="40" spans="1:8" x14ac:dyDescent="0.3">
      <c r="A40" t="s">
        <v>44</v>
      </c>
      <c r="B40" s="4" t="d">
        <v>2025-02-08</v>
      </c>
      <c r="C40" t="s">
        <v>767</v>
      </c>
      <c r="D40" t="s">
        <v>746</v>
      </c>
      <c r="E40" t="s">
        <v>755</v>
      </c>
      <c r="F40" t="s">
        <v>750</v>
      </c>
      <c r="G40" s="9">
        <v>14</v>
      </c>
      <c r="H40">
        <v>4</v>
      </c>
    </row>
    <row r="41" spans="1:8" x14ac:dyDescent="0.3">
      <c r="A41" t="s">
        <v>45</v>
      </c>
      <c r="B41" s="4" t="d">
        <v>2025-02-09</v>
      </c>
      <c r="C41" t="s">
        <v>741</v>
      </c>
      <c r="D41" t="s">
        <v>745</v>
      </c>
      <c r="E41" t="s">
        <v>756</v>
      </c>
      <c r="F41" t="s">
        <v>751</v>
      </c>
      <c r="H41" t="s">
        <v>759</v>
      </c>
    </row>
    <row r="42" spans="1:8" x14ac:dyDescent="0.3">
      <c r="A42" t="s">
        <v>46</v>
      </c>
      <c r="B42" s="4" t="d">
        <v>2025-02-10</v>
      </c>
      <c r="C42" t="s">
        <v>767</v>
      </c>
      <c r="D42" t="s">
        <v>746</v>
      </c>
      <c r="E42" t="s">
        <v>758</v>
      </c>
      <c r="F42" t="s">
        <v>750</v>
      </c>
      <c r="H42" t="s">
        <v>759</v>
      </c>
    </row>
    <row r="43" spans="1:8" x14ac:dyDescent="0.3">
      <c r="A43" t="s">
        <v>47</v>
      </c>
      <c r="B43" s="4" t="d">
        <v>2025-02-11</v>
      </c>
      <c r="C43" t="s">
        <v>765</v>
      </c>
      <c r="D43" t="s">
        <v>745</v>
      </c>
      <c r="E43" t="s">
        <v>757</v>
      </c>
      <c r="F43" t="s">
        <v>754</v>
      </c>
      <c r="H43" t="s">
        <v>759</v>
      </c>
    </row>
    <row r="44" spans="1:8" x14ac:dyDescent="0.3">
      <c r="A44" t="s">
        <v>48</v>
      </c>
      <c r="B44" s="4" t="d">
        <v>2025-02-12</v>
      </c>
      <c r="C44" t="s">
        <v>740</v>
      </c>
      <c r="D44" t="s">
        <v>746</v>
      </c>
      <c r="E44" t="s">
        <v>755</v>
      </c>
      <c r="F44" t="s">
        <v>748</v>
      </c>
      <c r="G44" s="9">
        <v>4</v>
      </c>
      <c r="H44">
        <v>4</v>
      </c>
    </row>
    <row r="45" spans="1:8" x14ac:dyDescent="0.3">
      <c r="A45" t="s">
        <v>49</v>
      </c>
      <c r="B45" s="4" t="d">
        <v>2025-02-13</v>
      </c>
      <c r="C45" t="s">
        <v>740</v>
      </c>
      <c r="D45" t="s">
        <v>746</v>
      </c>
      <c r="E45" t="s">
        <v>757</v>
      </c>
      <c r="F45" t="s">
        <v>754</v>
      </c>
      <c r="H45" t="s">
        <v>759</v>
      </c>
    </row>
    <row r="46" spans="1:8" x14ac:dyDescent="0.3">
      <c r="A46" t="s">
        <v>50</v>
      </c>
      <c r="B46" s="4" t="d">
        <v>2025-02-14</v>
      </c>
      <c r="C46" t="s">
        <v>766</v>
      </c>
      <c r="D46" t="s">
        <v>745</v>
      </c>
      <c r="E46" t="s">
        <v>758</v>
      </c>
      <c r="F46" t="s">
        <v>750</v>
      </c>
      <c r="H46" t="s">
        <v>759</v>
      </c>
    </row>
    <row r="47" spans="1:8" x14ac:dyDescent="0.3">
      <c r="A47" t="s">
        <v>51</v>
      </c>
      <c r="B47" s="4" t="d">
        <v>2025-02-15</v>
      </c>
      <c r="C47" t="s">
        <v>767</v>
      </c>
      <c r="D47" t="s">
        <v>746</v>
      </c>
      <c r="E47" t="s">
        <v>757</v>
      </c>
      <c r="F47" t="s">
        <v>750</v>
      </c>
      <c r="H47" t="s">
        <v>759</v>
      </c>
    </row>
    <row r="48" spans="1:8" x14ac:dyDescent="0.3">
      <c r="A48" t="s">
        <v>52</v>
      </c>
      <c r="B48" s="4" t="d">
        <v>2025-02-16</v>
      </c>
      <c r="C48" t="s">
        <v>740</v>
      </c>
      <c r="D48" t="s">
        <v>746</v>
      </c>
      <c r="E48" t="s">
        <v>755</v>
      </c>
      <c r="F48" t="s">
        <v>748</v>
      </c>
      <c r="G48" s="9">
        <v>5</v>
      </c>
      <c r="H48">
        <v>4</v>
      </c>
    </row>
    <row r="49" spans="1:8" x14ac:dyDescent="0.3">
      <c r="A49" t="s">
        <v>53</v>
      </c>
      <c r="B49" s="4" t="d">
        <v>2025-02-17</v>
      </c>
      <c r="C49" t="s">
        <v>766</v>
      </c>
      <c r="D49" t="s">
        <v>745</v>
      </c>
      <c r="E49" t="s">
        <v>755</v>
      </c>
      <c r="F49" t="s">
        <v>751</v>
      </c>
      <c r="G49" s="9">
        <v>15</v>
      </c>
      <c r="H49">
        <v>5</v>
      </c>
    </row>
    <row r="50" spans="1:8" x14ac:dyDescent="0.3">
      <c r="A50" t="s">
        <v>54</v>
      </c>
      <c r="B50" s="4" t="d">
        <v>2025-02-18</v>
      </c>
      <c r="C50" t="s">
        <v>741</v>
      </c>
      <c r="D50" t="s">
        <v>745</v>
      </c>
      <c r="E50" t="s">
        <v>756</v>
      </c>
      <c r="F50" t="s">
        <v>750</v>
      </c>
      <c r="H50" t="s">
        <v>759</v>
      </c>
    </row>
    <row r="51" spans="1:8" x14ac:dyDescent="0.3">
      <c r="A51" t="s">
        <v>55</v>
      </c>
      <c r="B51" s="4" t="d">
        <v>2025-02-19</v>
      </c>
      <c r="C51" t="s">
        <v>765</v>
      </c>
      <c r="D51" t="s">
        <v>745</v>
      </c>
      <c r="E51" t="s">
        <v>755</v>
      </c>
      <c r="F51" t="s">
        <v>750</v>
      </c>
      <c r="G51" s="9">
        <v>8</v>
      </c>
      <c r="H51">
        <v>4</v>
      </c>
    </row>
    <row r="52" spans="1:8" x14ac:dyDescent="0.3">
      <c r="A52" t="s">
        <v>56</v>
      </c>
      <c r="B52" s="4" t="d">
        <v>2025-02-20</v>
      </c>
      <c r="C52" t="s">
        <v>741</v>
      </c>
      <c r="D52" t="s">
        <v>745</v>
      </c>
      <c r="E52" t="s">
        <v>756</v>
      </c>
      <c r="F52" t="s">
        <v>750</v>
      </c>
      <c r="H52" t="s">
        <v>759</v>
      </c>
    </row>
    <row r="53" spans="1:8" x14ac:dyDescent="0.3">
      <c r="A53" t="s">
        <v>57</v>
      </c>
      <c r="B53" s="4" t="d">
        <v>2025-02-21</v>
      </c>
      <c r="C53" t="s">
        <v>741</v>
      </c>
      <c r="D53" t="s">
        <v>745</v>
      </c>
      <c r="E53" t="s">
        <v>755</v>
      </c>
      <c r="F53" t="s">
        <v>752</v>
      </c>
      <c r="G53" s="9">
        <v>42</v>
      </c>
      <c r="H53">
        <v>3</v>
      </c>
    </row>
    <row r="54" spans="1:8" x14ac:dyDescent="0.3">
      <c r="A54" t="s">
        <v>58</v>
      </c>
      <c r="B54" s="4" t="d">
        <v>2025-02-22</v>
      </c>
      <c r="C54" t="s">
        <v>741</v>
      </c>
      <c r="D54" t="s">
        <v>746</v>
      </c>
      <c r="E54" t="s">
        <v>756</v>
      </c>
      <c r="F54" t="s">
        <v>752</v>
      </c>
      <c r="H54" t="s">
        <v>759</v>
      </c>
    </row>
    <row r="55" spans="1:8" x14ac:dyDescent="0.3">
      <c r="A55" t="s">
        <v>59</v>
      </c>
      <c r="B55" s="4" t="d">
        <v>2025-02-23</v>
      </c>
      <c r="C55" t="s">
        <v>765</v>
      </c>
      <c r="D55" t="s">
        <v>745</v>
      </c>
      <c r="E55" t="s">
        <v>756</v>
      </c>
      <c r="F55" t="s">
        <v>751</v>
      </c>
      <c r="H55" t="s">
        <v>759</v>
      </c>
    </row>
    <row r="56" spans="1:8" x14ac:dyDescent="0.3">
      <c r="A56" t="s">
        <v>60</v>
      </c>
      <c r="B56" s="4" t="d">
        <v>2025-02-24</v>
      </c>
      <c r="C56" t="s">
        <v>765</v>
      </c>
      <c r="D56" t="s">
        <v>745</v>
      </c>
      <c r="E56" t="s">
        <v>755</v>
      </c>
      <c r="F56" t="s">
        <v>747</v>
      </c>
      <c r="G56" s="9">
        <v>4</v>
      </c>
      <c r="H56">
        <v>3</v>
      </c>
    </row>
    <row r="57" spans="1:8" x14ac:dyDescent="0.3">
      <c r="A57" t="s">
        <v>61</v>
      </c>
      <c r="B57" s="4" t="d">
        <v>2025-02-25</v>
      </c>
      <c r="C57" t="s">
        <v>766</v>
      </c>
      <c r="D57" t="s">
        <v>745</v>
      </c>
      <c r="E57" t="s">
        <v>758</v>
      </c>
      <c r="F57" t="s">
        <v>750</v>
      </c>
      <c r="H57" t="s">
        <v>759</v>
      </c>
    </row>
    <row r="58" spans="1:8" x14ac:dyDescent="0.3">
      <c r="A58" t="s">
        <v>62</v>
      </c>
      <c r="B58" s="4" t="d">
        <v>2025-02-26</v>
      </c>
      <c r="C58" t="s">
        <v>766</v>
      </c>
      <c r="D58" t="s">
        <v>745</v>
      </c>
      <c r="E58" t="s">
        <v>757</v>
      </c>
      <c r="F58" t="s">
        <v>753</v>
      </c>
      <c r="H58" t="s">
        <v>759</v>
      </c>
    </row>
    <row r="59" spans="1:8" x14ac:dyDescent="0.3">
      <c r="A59" t="s">
        <v>63</v>
      </c>
      <c r="B59" s="4" t="d">
        <v>2025-02-27</v>
      </c>
      <c r="C59" t="s">
        <v>766</v>
      </c>
      <c r="D59" t="s">
        <v>745</v>
      </c>
      <c r="E59" t="s">
        <v>755</v>
      </c>
      <c r="F59" t="s">
        <v>754</v>
      </c>
      <c r="G59" s="9">
        <v>15</v>
      </c>
      <c r="H59">
        <v>4</v>
      </c>
    </row>
    <row r="60" spans="1:8" x14ac:dyDescent="0.3">
      <c r="A60" t="s">
        <v>64</v>
      </c>
      <c r="B60" s="4" t="d">
        <v>2025-02-28</v>
      </c>
      <c r="C60" t="s">
        <v>766</v>
      </c>
      <c r="D60" t="s">
        <v>745</v>
      </c>
      <c r="E60" t="s">
        <v>758</v>
      </c>
      <c r="F60" t="s">
        <v>750</v>
      </c>
      <c r="H60" t="s">
        <v>759</v>
      </c>
    </row>
    <row r="61" spans="1:8" x14ac:dyDescent="0.3">
      <c r="A61" t="s">
        <v>65</v>
      </c>
      <c r="B61" s="4" t="d">
        <v>2025-03-01</v>
      </c>
      <c r="C61" t="s">
        <v>740</v>
      </c>
      <c r="D61" t="s">
        <v>746</v>
      </c>
      <c r="E61" t="s">
        <v>755</v>
      </c>
      <c r="F61" t="s">
        <v>752</v>
      </c>
      <c r="G61" s="9">
        <v>3</v>
      </c>
      <c r="H61">
        <v>3</v>
      </c>
    </row>
    <row r="62" spans="1:8" x14ac:dyDescent="0.3">
      <c r="A62" t="s">
        <v>66</v>
      </c>
      <c r="B62" s="4" t="d">
        <v>2025-03-02</v>
      </c>
      <c r="C62" t="s">
        <v>767</v>
      </c>
      <c r="D62" t="s">
        <v>746</v>
      </c>
      <c r="E62" t="s">
        <v>755</v>
      </c>
      <c r="F62" t="s">
        <v>753</v>
      </c>
      <c r="G62" s="9">
        <v>15</v>
      </c>
      <c r="H62">
        <v>3</v>
      </c>
    </row>
    <row r="63" spans="1:8" x14ac:dyDescent="0.3">
      <c r="A63" t="s">
        <v>67</v>
      </c>
      <c r="B63" s="4" t="d">
        <v>2025-03-03</v>
      </c>
      <c r="C63" t="s">
        <v>766</v>
      </c>
      <c r="D63" t="s">
        <v>745</v>
      </c>
      <c r="E63" t="s">
        <v>755</v>
      </c>
      <c r="F63" t="s">
        <v>752</v>
      </c>
      <c r="G63" s="9">
        <v>27</v>
      </c>
      <c r="H63">
        <v>5</v>
      </c>
    </row>
    <row r="64" spans="1:8" x14ac:dyDescent="0.3">
      <c r="A64" t="s">
        <v>68</v>
      </c>
      <c r="B64" s="4" t="d">
        <v>2025-03-04</v>
      </c>
      <c r="C64" t="s">
        <v>766</v>
      </c>
      <c r="D64" t="s">
        <v>746</v>
      </c>
      <c r="E64" t="s">
        <v>757</v>
      </c>
      <c r="F64" t="s">
        <v>752</v>
      </c>
      <c r="H64" t="s">
        <v>759</v>
      </c>
    </row>
    <row r="65" spans="1:8" x14ac:dyDescent="0.3">
      <c r="A65" t="s">
        <v>69</v>
      </c>
      <c r="B65" s="4" t="d">
        <v>2025-03-05</v>
      </c>
      <c r="C65" t="s">
        <v>741</v>
      </c>
      <c r="D65" t="s">
        <v>746</v>
      </c>
      <c r="E65" t="s">
        <v>756</v>
      </c>
      <c r="F65" t="s">
        <v>749</v>
      </c>
      <c r="H65" t="s">
        <v>759</v>
      </c>
    </row>
    <row r="66" spans="1:8" x14ac:dyDescent="0.3">
      <c r="A66" t="s">
        <v>70</v>
      </c>
      <c r="B66" s="4" t="d">
        <v>2025-03-06</v>
      </c>
      <c r="C66" t="s">
        <v>766</v>
      </c>
      <c r="D66" t="s">
        <v>745</v>
      </c>
      <c r="E66" t="s">
        <v>757</v>
      </c>
      <c r="F66" t="s">
        <v>752</v>
      </c>
      <c r="H66" t="s">
        <v>759</v>
      </c>
    </row>
    <row r="67" spans="1:8" x14ac:dyDescent="0.3">
      <c r="A67" t="s">
        <v>71</v>
      </c>
      <c r="B67" s="4" t="d">
        <v>2025-03-07</v>
      </c>
      <c r="C67" t="s">
        <v>765</v>
      </c>
      <c r="D67" t="s">
        <v>745</v>
      </c>
      <c r="E67" t="s">
        <v>758</v>
      </c>
      <c r="F67" t="s">
        <v>749</v>
      </c>
      <c r="H67" t="s">
        <v>759</v>
      </c>
    </row>
    <row r="68" spans="1:8" x14ac:dyDescent="0.3">
      <c r="A68" t="s">
        <v>72</v>
      </c>
      <c r="B68" s="4" t="d">
        <v>2025-03-08</v>
      </c>
      <c r="C68" t="s">
        <v>741</v>
      </c>
      <c r="D68" t="s">
        <v>746</v>
      </c>
      <c r="E68" t="s">
        <v>756</v>
      </c>
      <c r="F68" t="s">
        <v>750</v>
      </c>
      <c r="H68" t="s">
        <v>759</v>
      </c>
    </row>
    <row r="69" spans="1:8" x14ac:dyDescent="0.3">
      <c r="A69" t="s">
        <v>73</v>
      </c>
      <c r="B69" s="4" t="d">
        <v>2025-03-09</v>
      </c>
      <c r="C69" t="s">
        <v>767</v>
      </c>
      <c r="D69" t="s">
        <v>746</v>
      </c>
      <c r="E69" t="s">
        <v>758</v>
      </c>
      <c r="F69" t="s">
        <v>747</v>
      </c>
      <c r="H69" t="s">
        <v>759</v>
      </c>
    </row>
    <row r="70" spans="1:8" x14ac:dyDescent="0.3">
      <c r="A70" t="s">
        <v>74</v>
      </c>
      <c r="B70" s="4" t="d">
        <v>2025-03-10</v>
      </c>
      <c r="C70" t="s">
        <v>741</v>
      </c>
      <c r="D70" t="s">
        <v>746</v>
      </c>
      <c r="E70" t="s">
        <v>755</v>
      </c>
      <c r="F70" t="s">
        <v>751</v>
      </c>
      <c r="G70" s="9">
        <v>13</v>
      </c>
      <c r="H70">
        <v>3</v>
      </c>
    </row>
    <row r="71" spans="1:8" x14ac:dyDescent="0.3">
      <c r="A71" t="s">
        <v>75</v>
      </c>
      <c r="B71" s="4" t="d">
        <v>2025-03-11</v>
      </c>
      <c r="C71" t="s">
        <v>767</v>
      </c>
      <c r="D71" t="s">
        <v>746</v>
      </c>
      <c r="E71" t="s">
        <v>756</v>
      </c>
      <c r="F71" t="s">
        <v>753</v>
      </c>
      <c r="H71" t="s">
        <v>759</v>
      </c>
    </row>
    <row r="72" spans="1:8" x14ac:dyDescent="0.3">
      <c r="A72" t="s">
        <v>76</v>
      </c>
      <c r="B72" s="4" t="d">
        <v>2025-03-12</v>
      </c>
      <c r="C72" t="s">
        <v>741</v>
      </c>
      <c r="D72" t="s">
        <v>746</v>
      </c>
      <c r="E72" t="s">
        <v>756</v>
      </c>
      <c r="F72" t="s">
        <v>747</v>
      </c>
      <c r="H72" t="s">
        <v>759</v>
      </c>
    </row>
    <row r="73" spans="1:8" x14ac:dyDescent="0.3">
      <c r="A73" t="s">
        <v>77</v>
      </c>
      <c r="B73" s="4" t="d">
        <v>2025-03-13</v>
      </c>
      <c r="C73" t="s">
        <v>767</v>
      </c>
      <c r="D73" t="s">
        <v>746</v>
      </c>
      <c r="E73" t="s">
        <v>756</v>
      </c>
      <c r="F73" t="s">
        <v>750</v>
      </c>
      <c r="H73" t="s">
        <v>759</v>
      </c>
    </row>
    <row r="74" spans="1:8" x14ac:dyDescent="0.3">
      <c r="A74" t="s">
        <v>78</v>
      </c>
      <c r="B74" s="4" t="d">
        <v>2025-03-14</v>
      </c>
      <c r="C74" t="s">
        <v>767</v>
      </c>
      <c r="D74" t="s">
        <v>746</v>
      </c>
      <c r="E74" t="s">
        <v>758</v>
      </c>
      <c r="F74" t="s">
        <v>747</v>
      </c>
      <c r="H74" t="s">
        <v>759</v>
      </c>
    </row>
    <row r="75" spans="1:8" x14ac:dyDescent="0.3">
      <c r="A75" t="s">
        <v>79</v>
      </c>
      <c r="B75" s="4" t="d">
        <v>2025-03-15</v>
      </c>
      <c r="C75" t="s">
        <v>767</v>
      </c>
      <c r="D75" t="s">
        <v>746</v>
      </c>
      <c r="E75" t="s">
        <v>755</v>
      </c>
      <c r="F75" t="s">
        <v>754</v>
      </c>
      <c r="G75" s="9">
        <v>7</v>
      </c>
      <c r="H75">
        <v>5</v>
      </c>
    </row>
    <row r="76" spans="1:8" x14ac:dyDescent="0.3">
      <c r="A76" t="s">
        <v>80</v>
      </c>
      <c r="B76" s="4" t="d">
        <v>2025-03-16</v>
      </c>
      <c r="C76" t="s">
        <v>765</v>
      </c>
      <c r="D76" t="s">
        <v>745</v>
      </c>
      <c r="E76" t="s">
        <v>756</v>
      </c>
      <c r="F76" t="s">
        <v>752</v>
      </c>
      <c r="H76" t="s">
        <v>759</v>
      </c>
    </row>
    <row r="77" spans="1:8" x14ac:dyDescent="0.3">
      <c r="A77" t="s">
        <v>81</v>
      </c>
      <c r="B77" s="4" t="d">
        <v>2025-03-17</v>
      </c>
      <c r="C77" t="s">
        <v>765</v>
      </c>
      <c r="D77" t="s">
        <v>745</v>
      </c>
      <c r="E77" t="s">
        <v>757</v>
      </c>
      <c r="F77" t="s">
        <v>748</v>
      </c>
      <c r="H77" t="s">
        <v>759</v>
      </c>
    </row>
    <row r="78" spans="1:8" x14ac:dyDescent="0.3">
      <c r="A78" t="s">
        <v>82</v>
      </c>
      <c r="B78" s="4" t="d">
        <v>2025-03-18</v>
      </c>
      <c r="C78" t="s">
        <v>767</v>
      </c>
      <c r="D78" t="s">
        <v>746</v>
      </c>
      <c r="E78" t="s">
        <v>755</v>
      </c>
      <c r="F78" t="s">
        <v>753</v>
      </c>
      <c r="G78" s="9">
        <v>9</v>
      </c>
      <c r="H78">
        <v>3</v>
      </c>
    </row>
    <row r="79" spans="1:8" x14ac:dyDescent="0.3">
      <c r="A79" t="s">
        <v>83</v>
      </c>
      <c r="B79" s="4" t="d">
        <v>2025-03-19</v>
      </c>
      <c r="C79" t="s">
        <v>741</v>
      </c>
      <c r="D79" t="s">
        <v>746</v>
      </c>
      <c r="E79" t="s">
        <v>758</v>
      </c>
      <c r="F79" t="s">
        <v>752</v>
      </c>
      <c r="H79" t="s">
        <v>759</v>
      </c>
    </row>
    <row r="80" spans="1:8" x14ac:dyDescent="0.3">
      <c r="A80" t="s">
        <v>84</v>
      </c>
      <c r="B80" s="4" t="d">
        <v>2025-03-20</v>
      </c>
      <c r="C80" t="s">
        <v>767</v>
      </c>
      <c r="D80" t="s">
        <v>746</v>
      </c>
      <c r="E80" t="s">
        <v>757</v>
      </c>
      <c r="F80" t="s">
        <v>750</v>
      </c>
      <c r="H80" t="s">
        <v>759</v>
      </c>
    </row>
    <row r="81" spans="1:8" x14ac:dyDescent="0.3">
      <c r="A81" t="s">
        <v>85</v>
      </c>
      <c r="B81" s="4" t="d">
        <v>2025-03-21</v>
      </c>
      <c r="C81" t="s">
        <v>765</v>
      </c>
      <c r="D81" t="s">
        <v>745</v>
      </c>
      <c r="E81" t="s">
        <v>756</v>
      </c>
      <c r="F81" t="s">
        <v>749</v>
      </c>
      <c r="H81" t="s">
        <v>759</v>
      </c>
    </row>
    <row r="82" spans="1:8" x14ac:dyDescent="0.3">
      <c r="A82" t="s">
        <v>86</v>
      </c>
      <c r="B82" s="4" t="d">
        <v>2025-03-22</v>
      </c>
      <c r="C82" t="s">
        <v>767</v>
      </c>
      <c r="D82" t="s">
        <v>746</v>
      </c>
      <c r="E82" t="s">
        <v>755</v>
      </c>
      <c r="F82" t="s">
        <v>753</v>
      </c>
      <c r="G82" s="9">
        <v>13</v>
      </c>
      <c r="H82">
        <v>3</v>
      </c>
    </row>
    <row r="83" spans="1:8" x14ac:dyDescent="0.3">
      <c r="A83" t="s">
        <v>87</v>
      </c>
      <c r="B83" s="4" t="d">
        <v>2025-03-23</v>
      </c>
      <c r="C83" t="s">
        <v>765</v>
      </c>
      <c r="D83" t="s">
        <v>745</v>
      </c>
      <c r="E83" t="s">
        <v>757</v>
      </c>
      <c r="F83" t="s">
        <v>749</v>
      </c>
      <c r="H83" t="s">
        <v>759</v>
      </c>
    </row>
    <row r="84" spans="1:8" x14ac:dyDescent="0.3">
      <c r="A84" t="s">
        <v>88</v>
      </c>
      <c r="B84" s="4" t="d">
        <v>2025-03-24</v>
      </c>
      <c r="C84" t="s">
        <v>740</v>
      </c>
      <c r="D84" t="s">
        <v>746</v>
      </c>
      <c r="E84" t="s">
        <v>758</v>
      </c>
      <c r="F84" t="s">
        <v>753</v>
      </c>
      <c r="H84" t="s">
        <v>759</v>
      </c>
    </row>
    <row r="85" spans="1:8" x14ac:dyDescent="0.3">
      <c r="A85" t="s">
        <v>89</v>
      </c>
      <c r="B85" s="4" t="d">
        <v>2025-03-25</v>
      </c>
      <c r="C85" t="s">
        <v>741</v>
      </c>
      <c r="D85" t="s">
        <v>746</v>
      </c>
      <c r="E85" t="s">
        <v>756</v>
      </c>
      <c r="F85" t="s">
        <v>747</v>
      </c>
      <c r="H85" t="s">
        <v>759</v>
      </c>
    </row>
    <row r="86" spans="1:8" x14ac:dyDescent="0.3">
      <c r="A86" t="s">
        <v>90</v>
      </c>
      <c r="B86" s="4" t="d">
        <v>2025-03-26</v>
      </c>
      <c r="C86" t="s">
        <v>765</v>
      </c>
      <c r="D86" t="s">
        <v>745</v>
      </c>
      <c r="E86" t="s">
        <v>755</v>
      </c>
      <c r="F86" t="s">
        <v>748</v>
      </c>
      <c r="G86" s="9">
        <v>4</v>
      </c>
      <c r="H86">
        <v>5</v>
      </c>
    </row>
    <row r="87" spans="1:8" x14ac:dyDescent="0.3">
      <c r="A87" t="s">
        <v>91</v>
      </c>
      <c r="B87" s="4" t="d">
        <v>2025-03-27</v>
      </c>
      <c r="C87" t="s">
        <v>741</v>
      </c>
      <c r="D87" t="s">
        <v>745</v>
      </c>
      <c r="E87" t="s">
        <v>755</v>
      </c>
      <c r="F87" t="s">
        <v>749</v>
      </c>
      <c r="G87" s="9">
        <v>37</v>
      </c>
      <c r="H87">
        <v>5</v>
      </c>
    </row>
    <row r="88" spans="1:8" x14ac:dyDescent="0.3">
      <c r="A88" t="s">
        <v>92</v>
      </c>
      <c r="B88" s="4" t="d">
        <v>2025-03-28</v>
      </c>
      <c r="C88" t="s">
        <v>741</v>
      </c>
      <c r="D88" t="s">
        <v>745</v>
      </c>
      <c r="E88" t="s">
        <v>758</v>
      </c>
      <c r="F88" t="s">
        <v>751</v>
      </c>
      <c r="H88" t="s">
        <v>759</v>
      </c>
    </row>
    <row r="89" spans="1:8" x14ac:dyDescent="0.3">
      <c r="A89" t="s">
        <v>93</v>
      </c>
      <c r="B89" s="4" t="d">
        <v>2025-03-29</v>
      </c>
      <c r="C89" t="s">
        <v>767</v>
      </c>
      <c r="D89" t="s">
        <v>746</v>
      </c>
      <c r="E89" t="s">
        <v>756</v>
      </c>
      <c r="F89" t="s">
        <v>752</v>
      </c>
      <c r="H89" t="s">
        <v>759</v>
      </c>
    </row>
    <row r="90" spans="1:8" x14ac:dyDescent="0.3">
      <c r="A90" t="s">
        <v>94</v>
      </c>
      <c r="B90" s="4" t="d">
        <v>2025-03-30</v>
      </c>
      <c r="C90" t="s">
        <v>740</v>
      </c>
      <c r="D90" t="s">
        <v>746</v>
      </c>
      <c r="E90" t="s">
        <v>758</v>
      </c>
      <c r="F90" t="s">
        <v>749</v>
      </c>
      <c r="H90" t="s">
        <v>759</v>
      </c>
    </row>
    <row r="91" spans="1:8" x14ac:dyDescent="0.3">
      <c r="A91" t="s">
        <v>95</v>
      </c>
      <c r="B91" s="4" t="d">
        <v>2025-03-31</v>
      </c>
      <c r="C91" t="s">
        <v>741</v>
      </c>
      <c r="D91" t="s">
        <v>746</v>
      </c>
      <c r="E91" t="s">
        <v>755</v>
      </c>
      <c r="F91" t="s">
        <v>747</v>
      </c>
      <c r="G91" s="9">
        <v>40</v>
      </c>
      <c r="H91">
        <v>3</v>
      </c>
    </row>
    <row r="92" spans="1:8" x14ac:dyDescent="0.3">
      <c r="A92" t="s">
        <v>96</v>
      </c>
      <c r="B92" s="4" t="d">
        <v>2025-04-01</v>
      </c>
      <c r="C92" t="s">
        <v>767</v>
      </c>
      <c r="D92" t="s">
        <v>746</v>
      </c>
      <c r="E92" t="s">
        <v>756</v>
      </c>
      <c r="F92" t="s">
        <v>747</v>
      </c>
      <c r="H92" t="s">
        <v>759</v>
      </c>
    </row>
    <row r="93" spans="1:8" x14ac:dyDescent="0.3">
      <c r="A93" t="s">
        <v>97</v>
      </c>
      <c r="B93" s="4" t="d">
        <v>2025-04-02</v>
      </c>
      <c r="C93" t="s">
        <v>765</v>
      </c>
      <c r="D93" t="s">
        <v>745</v>
      </c>
      <c r="E93" t="s">
        <v>755</v>
      </c>
      <c r="F93" t="s">
        <v>750</v>
      </c>
      <c r="G93" s="9">
        <v>6</v>
      </c>
      <c r="H93">
        <v>3</v>
      </c>
    </row>
    <row r="94" spans="1:8" x14ac:dyDescent="0.3">
      <c r="A94" t="s">
        <v>98</v>
      </c>
      <c r="B94" s="4" t="d">
        <v>2025-04-03</v>
      </c>
      <c r="C94" t="s">
        <v>740</v>
      </c>
      <c r="D94" t="s">
        <v>746</v>
      </c>
      <c r="E94" t="s">
        <v>756</v>
      </c>
      <c r="F94" t="s">
        <v>752</v>
      </c>
      <c r="H94" t="s">
        <v>759</v>
      </c>
    </row>
    <row r="95" spans="1:8" x14ac:dyDescent="0.3">
      <c r="A95" t="s">
        <v>99</v>
      </c>
      <c r="B95" s="4" t="d">
        <v>2025-04-04</v>
      </c>
      <c r="C95" t="s">
        <v>765</v>
      </c>
      <c r="D95" t="s">
        <v>745</v>
      </c>
      <c r="E95" t="s">
        <v>755</v>
      </c>
      <c r="F95" t="s">
        <v>750</v>
      </c>
      <c r="G95" s="9">
        <v>7</v>
      </c>
      <c r="H95">
        <v>3</v>
      </c>
    </row>
    <row r="96" spans="1:8" x14ac:dyDescent="0.3">
      <c r="A96" t="s">
        <v>100</v>
      </c>
      <c r="B96" s="4" t="d">
        <v>2025-04-05</v>
      </c>
      <c r="C96" t="s">
        <v>767</v>
      </c>
      <c r="D96" t="s">
        <v>746</v>
      </c>
      <c r="E96" t="s">
        <v>756</v>
      </c>
      <c r="F96" t="s">
        <v>753</v>
      </c>
      <c r="H96" t="s">
        <v>759</v>
      </c>
    </row>
    <row r="97" spans="1:8" x14ac:dyDescent="0.3">
      <c r="A97" t="s">
        <v>101</v>
      </c>
      <c r="B97" s="4" t="d">
        <v>2025-04-06</v>
      </c>
      <c r="C97" t="s">
        <v>767</v>
      </c>
      <c r="D97" t="s">
        <v>746</v>
      </c>
      <c r="E97" t="s">
        <v>756</v>
      </c>
      <c r="F97" t="s">
        <v>749</v>
      </c>
      <c r="H97" t="s">
        <v>759</v>
      </c>
    </row>
    <row r="98" spans="1:8" x14ac:dyDescent="0.3">
      <c r="A98" t="s">
        <v>102</v>
      </c>
      <c r="B98" s="4" t="d">
        <v>2025-04-07</v>
      </c>
      <c r="C98" t="s">
        <v>765</v>
      </c>
      <c r="D98" t="s">
        <v>745</v>
      </c>
      <c r="E98" t="s">
        <v>757</v>
      </c>
      <c r="F98" t="s">
        <v>748</v>
      </c>
      <c r="H98" t="s">
        <v>759</v>
      </c>
    </row>
    <row r="99" spans="1:8" x14ac:dyDescent="0.3">
      <c r="A99" t="s">
        <v>103</v>
      </c>
      <c r="B99" s="4" t="d">
        <v>2025-04-08</v>
      </c>
      <c r="C99" t="s">
        <v>740</v>
      </c>
      <c r="D99" t="s">
        <v>746</v>
      </c>
      <c r="E99" t="s">
        <v>756</v>
      </c>
      <c r="F99" t="s">
        <v>748</v>
      </c>
      <c r="H99" t="s">
        <v>759</v>
      </c>
    </row>
    <row r="100" spans="1:8" x14ac:dyDescent="0.3">
      <c r="A100" t="s">
        <v>104</v>
      </c>
      <c r="B100" s="4" t="d">
        <v>2025-04-09</v>
      </c>
      <c r="C100" t="s">
        <v>766</v>
      </c>
      <c r="D100" t="s">
        <v>746</v>
      </c>
      <c r="E100" t="s">
        <v>758</v>
      </c>
      <c r="F100" t="s">
        <v>751</v>
      </c>
      <c r="H100" t="s">
        <v>759</v>
      </c>
    </row>
    <row r="101" spans="1:8" x14ac:dyDescent="0.3">
      <c r="A101" t="s">
        <v>105</v>
      </c>
      <c r="B101" s="4" t="d">
        <v>2025-04-10</v>
      </c>
      <c r="C101" t="s">
        <v>740</v>
      </c>
      <c r="D101" t="s">
        <v>746</v>
      </c>
      <c r="E101" t="s">
        <v>755</v>
      </c>
      <c r="F101" t="s">
        <v>748</v>
      </c>
      <c r="G101" s="9">
        <v>5</v>
      </c>
      <c r="H101">
        <v>4</v>
      </c>
    </row>
    <row r="102" spans="1:8" x14ac:dyDescent="0.3">
      <c r="A102" t="s">
        <v>106</v>
      </c>
      <c r="B102" s="4" t="d">
        <v>2025-04-11</v>
      </c>
      <c r="C102" t="s">
        <v>741</v>
      </c>
      <c r="D102" t="s">
        <v>745</v>
      </c>
      <c r="E102" t="s">
        <v>756</v>
      </c>
      <c r="F102" t="s">
        <v>753</v>
      </c>
      <c r="H102" t="s">
        <v>759</v>
      </c>
    </row>
    <row r="103" spans="1:8" x14ac:dyDescent="0.3">
      <c r="A103" t="s">
        <v>107</v>
      </c>
      <c r="B103" s="4" t="d">
        <v>2025-04-12</v>
      </c>
      <c r="C103" t="s">
        <v>766</v>
      </c>
      <c r="D103" t="s">
        <v>745</v>
      </c>
      <c r="E103" t="s">
        <v>756</v>
      </c>
      <c r="F103" t="s">
        <v>751</v>
      </c>
      <c r="H103" t="s">
        <v>759</v>
      </c>
    </row>
    <row r="104" spans="1:8" x14ac:dyDescent="0.3">
      <c r="A104" t="s">
        <v>108</v>
      </c>
      <c r="B104" s="4" t="d">
        <v>2025-04-13</v>
      </c>
      <c r="C104" t="s">
        <v>765</v>
      </c>
      <c r="D104" t="s">
        <v>745</v>
      </c>
      <c r="E104" t="s">
        <v>756</v>
      </c>
      <c r="F104" t="s">
        <v>753</v>
      </c>
      <c r="H104" t="s">
        <v>759</v>
      </c>
    </row>
    <row r="105" spans="1:8" x14ac:dyDescent="0.3">
      <c r="A105" t="s">
        <v>109</v>
      </c>
      <c r="B105" s="4" t="d">
        <v>2025-04-14</v>
      </c>
      <c r="C105" t="s">
        <v>741</v>
      </c>
      <c r="D105" t="s">
        <v>745</v>
      </c>
      <c r="E105" t="s">
        <v>756</v>
      </c>
      <c r="F105" t="s">
        <v>754</v>
      </c>
      <c r="H105" t="s">
        <v>759</v>
      </c>
    </row>
    <row r="106" spans="1:8" x14ac:dyDescent="0.3">
      <c r="A106" t="s">
        <v>110</v>
      </c>
      <c r="B106" s="4" t="d">
        <v>2025-04-15</v>
      </c>
      <c r="C106" t="s">
        <v>740</v>
      </c>
      <c r="D106" t="s">
        <v>746</v>
      </c>
      <c r="E106" t="s">
        <v>755</v>
      </c>
      <c r="F106" t="s">
        <v>754</v>
      </c>
      <c r="G106" s="9">
        <v>7</v>
      </c>
      <c r="H106">
        <v>4</v>
      </c>
    </row>
    <row r="107" spans="1:8" x14ac:dyDescent="0.3">
      <c r="A107" t="s">
        <v>111</v>
      </c>
      <c r="B107" s="4" t="d">
        <v>2025-04-16</v>
      </c>
      <c r="C107" t="s">
        <v>765</v>
      </c>
      <c r="D107" t="s">
        <v>745</v>
      </c>
      <c r="E107" t="s">
        <v>755</v>
      </c>
      <c r="F107" t="s">
        <v>752</v>
      </c>
      <c r="G107" s="9">
        <v>3</v>
      </c>
      <c r="H107">
        <v>4</v>
      </c>
    </row>
    <row r="108" spans="1:8" x14ac:dyDescent="0.3">
      <c r="A108" t="s">
        <v>112</v>
      </c>
      <c r="B108" s="4" t="d">
        <v>2025-04-17</v>
      </c>
      <c r="C108" t="s">
        <v>766</v>
      </c>
      <c r="D108" t="s">
        <v>745</v>
      </c>
      <c r="E108" t="s">
        <v>758</v>
      </c>
      <c r="F108" t="s">
        <v>754</v>
      </c>
      <c r="H108" t="s">
        <v>759</v>
      </c>
    </row>
    <row r="109" spans="1:8" x14ac:dyDescent="0.3">
      <c r="A109" t="s">
        <v>113</v>
      </c>
      <c r="B109" s="4" t="d">
        <v>2025-04-18</v>
      </c>
      <c r="C109" t="s">
        <v>766</v>
      </c>
      <c r="D109" t="s">
        <v>746</v>
      </c>
      <c r="E109" t="s">
        <v>756</v>
      </c>
      <c r="F109" t="s">
        <v>748</v>
      </c>
      <c r="H109" t="s">
        <v>759</v>
      </c>
    </row>
    <row r="110" spans="1:8" x14ac:dyDescent="0.3">
      <c r="A110" t="s">
        <v>114</v>
      </c>
      <c r="B110" s="4" t="d">
        <v>2025-04-19</v>
      </c>
      <c r="C110" t="s">
        <v>740</v>
      </c>
      <c r="D110" t="s">
        <v>746</v>
      </c>
      <c r="E110" t="s">
        <v>758</v>
      </c>
      <c r="F110" t="s">
        <v>752</v>
      </c>
      <c r="H110" t="s">
        <v>759</v>
      </c>
    </row>
    <row r="111" spans="1:8" x14ac:dyDescent="0.3">
      <c r="A111" t="s">
        <v>115</v>
      </c>
      <c r="B111" s="4" t="d">
        <v>2025-04-20</v>
      </c>
      <c r="C111" t="s">
        <v>766</v>
      </c>
      <c r="D111" t="s">
        <v>745</v>
      </c>
      <c r="E111" t="s">
        <v>755</v>
      </c>
      <c r="F111" t="s">
        <v>752</v>
      </c>
      <c r="G111" s="9">
        <v>42</v>
      </c>
      <c r="H111">
        <v>3</v>
      </c>
    </row>
    <row r="112" spans="1:8" x14ac:dyDescent="0.3">
      <c r="A112" t="s">
        <v>116</v>
      </c>
      <c r="B112" s="4" t="d">
        <v>2025-04-21</v>
      </c>
      <c r="C112" t="s">
        <v>767</v>
      </c>
      <c r="D112" t="s">
        <v>746</v>
      </c>
      <c r="E112" t="s">
        <v>755</v>
      </c>
      <c r="F112" t="s">
        <v>748</v>
      </c>
      <c r="G112" s="9">
        <v>10</v>
      </c>
      <c r="H112">
        <v>4</v>
      </c>
    </row>
    <row r="113" spans="1:8" x14ac:dyDescent="0.3">
      <c r="A113" t="s">
        <v>117</v>
      </c>
      <c r="B113" s="4" t="d">
        <v>2025-04-22</v>
      </c>
      <c r="C113" t="s">
        <v>741</v>
      </c>
      <c r="D113" t="s">
        <v>745</v>
      </c>
      <c r="E113" t="s">
        <v>755</v>
      </c>
      <c r="F113" t="s">
        <v>751</v>
      </c>
      <c r="G113" s="9">
        <v>16</v>
      </c>
      <c r="H113">
        <v>3</v>
      </c>
    </row>
    <row r="114" spans="1:8" x14ac:dyDescent="0.3">
      <c r="A114" t="s">
        <v>118</v>
      </c>
      <c r="B114" s="4" t="d">
        <v>2025-04-23</v>
      </c>
      <c r="C114" t="s">
        <v>740</v>
      </c>
      <c r="D114" t="s">
        <v>746</v>
      </c>
      <c r="E114" t="s">
        <v>756</v>
      </c>
      <c r="F114" t="s">
        <v>753</v>
      </c>
      <c r="H114" t="s">
        <v>759</v>
      </c>
    </row>
    <row r="115" spans="1:8" x14ac:dyDescent="0.3">
      <c r="A115" t="s">
        <v>119</v>
      </c>
      <c r="B115" s="4" t="d">
        <v>2025-04-24</v>
      </c>
      <c r="C115" t="s">
        <v>767</v>
      </c>
      <c r="D115" t="s">
        <v>746</v>
      </c>
      <c r="E115" t="s">
        <v>756</v>
      </c>
      <c r="F115" t="s">
        <v>754</v>
      </c>
      <c r="H115" t="s">
        <v>759</v>
      </c>
    </row>
    <row r="116" spans="1:8" x14ac:dyDescent="0.3">
      <c r="A116" t="s">
        <v>120</v>
      </c>
      <c r="B116" s="4" t="d">
        <v>2025-04-25</v>
      </c>
      <c r="C116" t="s">
        <v>767</v>
      </c>
      <c r="D116" t="s">
        <v>746</v>
      </c>
      <c r="E116" t="s">
        <v>757</v>
      </c>
      <c r="F116" t="s">
        <v>747</v>
      </c>
      <c r="H116" t="s">
        <v>759</v>
      </c>
    </row>
    <row r="117" spans="1:8" x14ac:dyDescent="0.3">
      <c r="A117" t="s">
        <v>121</v>
      </c>
      <c r="B117" s="4" t="d">
        <v>2025-04-26</v>
      </c>
      <c r="C117" t="s">
        <v>765</v>
      </c>
      <c r="D117" t="s">
        <v>745</v>
      </c>
      <c r="E117" t="s">
        <v>755</v>
      </c>
      <c r="F117" t="s">
        <v>751</v>
      </c>
      <c r="G117" s="9">
        <v>2</v>
      </c>
      <c r="H117">
        <v>4</v>
      </c>
    </row>
    <row r="118" spans="1:8" x14ac:dyDescent="0.3">
      <c r="A118" t="s">
        <v>122</v>
      </c>
      <c r="B118" s="4" t="d">
        <v>2025-04-27</v>
      </c>
      <c r="C118" t="s">
        <v>767</v>
      </c>
      <c r="D118" t="s">
        <v>746</v>
      </c>
      <c r="E118" t="s">
        <v>756</v>
      </c>
      <c r="F118" t="s">
        <v>750</v>
      </c>
      <c r="H118" t="s">
        <v>759</v>
      </c>
    </row>
    <row r="119" spans="1:8" x14ac:dyDescent="0.3">
      <c r="A119" t="s">
        <v>123</v>
      </c>
      <c r="B119" s="4" t="d">
        <v>2025-04-28</v>
      </c>
      <c r="C119" t="s">
        <v>767</v>
      </c>
      <c r="D119" t="s">
        <v>746</v>
      </c>
      <c r="E119" t="s">
        <v>757</v>
      </c>
      <c r="F119" t="s">
        <v>747</v>
      </c>
      <c r="H119" t="s">
        <v>759</v>
      </c>
    </row>
    <row r="120" spans="1:8" x14ac:dyDescent="0.3">
      <c r="A120" t="s">
        <v>124</v>
      </c>
      <c r="B120" s="4" t="d">
        <v>2025-04-29</v>
      </c>
      <c r="C120" t="s">
        <v>767</v>
      </c>
      <c r="D120" t="s">
        <v>746</v>
      </c>
      <c r="E120" t="s">
        <v>758</v>
      </c>
      <c r="F120" t="s">
        <v>754</v>
      </c>
      <c r="H120" t="s">
        <v>759</v>
      </c>
    </row>
    <row r="121" spans="1:8" x14ac:dyDescent="0.3">
      <c r="A121" t="s">
        <v>125</v>
      </c>
      <c r="B121" s="4" t="d">
        <v>2025-04-30</v>
      </c>
      <c r="C121" t="s">
        <v>767</v>
      </c>
      <c r="D121" t="s">
        <v>746</v>
      </c>
      <c r="E121" t="s">
        <v>756</v>
      </c>
      <c r="F121" t="s">
        <v>754</v>
      </c>
      <c r="H121" t="s">
        <v>759</v>
      </c>
    </row>
    <row r="122" spans="1:8" x14ac:dyDescent="0.3">
      <c r="A122" t="s">
        <v>126</v>
      </c>
      <c r="B122" s="4" t="d">
        <v>2025-05-01</v>
      </c>
      <c r="C122" t="s">
        <v>740</v>
      </c>
      <c r="D122" t="s">
        <v>746</v>
      </c>
      <c r="E122" t="s">
        <v>755</v>
      </c>
      <c r="F122" t="s">
        <v>752</v>
      </c>
      <c r="G122" s="9">
        <v>3</v>
      </c>
      <c r="H122">
        <v>4</v>
      </c>
    </row>
    <row r="123" spans="1:8" x14ac:dyDescent="0.3">
      <c r="A123" t="s">
        <v>127</v>
      </c>
      <c r="B123" s="4" t="d">
        <v>2025-05-02</v>
      </c>
      <c r="C123" t="s">
        <v>767</v>
      </c>
      <c r="D123" t="s">
        <v>746</v>
      </c>
      <c r="E123" t="s">
        <v>757</v>
      </c>
      <c r="F123" t="s">
        <v>751</v>
      </c>
      <c r="H123" t="s">
        <v>759</v>
      </c>
    </row>
    <row r="124" spans="1:8" x14ac:dyDescent="0.3">
      <c r="A124" t="s">
        <v>128</v>
      </c>
      <c r="B124" s="4" t="d">
        <v>2025-05-03</v>
      </c>
      <c r="C124" t="s">
        <v>741</v>
      </c>
      <c r="D124" t="s">
        <v>745</v>
      </c>
      <c r="E124" t="s">
        <v>756</v>
      </c>
      <c r="F124" t="s">
        <v>754</v>
      </c>
      <c r="H124" t="s">
        <v>759</v>
      </c>
    </row>
    <row r="125" spans="1:8" x14ac:dyDescent="0.3">
      <c r="A125" t="s">
        <v>129</v>
      </c>
      <c r="B125" s="4" t="d">
        <v>2025-05-04</v>
      </c>
      <c r="C125" t="s">
        <v>740</v>
      </c>
      <c r="D125" t="s">
        <v>746</v>
      </c>
      <c r="E125" t="s">
        <v>755</v>
      </c>
      <c r="F125" t="s">
        <v>750</v>
      </c>
      <c r="G125" s="9">
        <v>8</v>
      </c>
      <c r="H125">
        <v>3</v>
      </c>
    </row>
    <row r="126" spans="1:8" x14ac:dyDescent="0.3">
      <c r="A126" t="s">
        <v>130</v>
      </c>
      <c r="B126" s="4" t="d">
        <v>2025-05-05</v>
      </c>
      <c r="C126" t="s">
        <v>765</v>
      </c>
      <c r="D126" t="s">
        <v>745</v>
      </c>
      <c r="E126" t="s">
        <v>755</v>
      </c>
      <c r="F126" t="s">
        <v>749</v>
      </c>
      <c r="G126" s="9">
        <v>6</v>
      </c>
      <c r="H126">
        <v>5</v>
      </c>
    </row>
    <row r="127" spans="1:8" x14ac:dyDescent="0.3">
      <c r="A127" t="s">
        <v>131</v>
      </c>
      <c r="B127" s="4" t="d">
        <v>2025-05-06</v>
      </c>
      <c r="C127" t="s">
        <v>740</v>
      </c>
      <c r="D127" t="s">
        <v>746</v>
      </c>
      <c r="E127" t="s">
        <v>758</v>
      </c>
      <c r="F127" t="s">
        <v>753</v>
      </c>
      <c r="H127" t="s">
        <v>759</v>
      </c>
    </row>
    <row r="128" spans="1:8" x14ac:dyDescent="0.3">
      <c r="A128" t="s">
        <v>132</v>
      </c>
      <c r="B128" s="4" t="d">
        <v>2025-05-07</v>
      </c>
      <c r="C128" t="s">
        <v>766</v>
      </c>
      <c r="D128" t="s">
        <v>745</v>
      </c>
      <c r="E128" t="s">
        <v>757</v>
      </c>
      <c r="F128" t="s">
        <v>747</v>
      </c>
      <c r="H128" t="s">
        <v>759</v>
      </c>
    </row>
    <row r="129" spans="1:8" x14ac:dyDescent="0.3">
      <c r="A129" t="s">
        <v>133</v>
      </c>
      <c r="B129" s="4" t="d">
        <v>2025-05-08</v>
      </c>
      <c r="C129" t="s">
        <v>766</v>
      </c>
      <c r="D129" t="s">
        <v>746</v>
      </c>
      <c r="E129" t="s">
        <v>756</v>
      </c>
      <c r="F129" t="s">
        <v>748</v>
      </c>
      <c r="H129" t="s">
        <v>759</v>
      </c>
    </row>
    <row r="130" spans="1:8" x14ac:dyDescent="0.3">
      <c r="A130" t="s">
        <v>134</v>
      </c>
      <c r="B130" s="4" t="d">
        <v>2025-05-09</v>
      </c>
      <c r="C130" t="s">
        <v>740</v>
      </c>
      <c r="D130" t="s">
        <v>746</v>
      </c>
      <c r="E130" t="s">
        <v>757</v>
      </c>
      <c r="F130" t="s">
        <v>754</v>
      </c>
      <c r="H130" t="s">
        <v>759</v>
      </c>
    </row>
    <row r="131" spans="1:8" x14ac:dyDescent="0.3">
      <c r="A131" t="s">
        <v>135</v>
      </c>
      <c r="B131" s="4" t="d">
        <v>2025-05-10</v>
      </c>
      <c r="C131" t="s">
        <v>765</v>
      </c>
      <c r="D131" t="s">
        <v>745</v>
      </c>
      <c r="E131" t="s">
        <v>757</v>
      </c>
      <c r="F131" t="s">
        <v>754</v>
      </c>
      <c r="H131" t="s">
        <v>759</v>
      </c>
    </row>
    <row r="132" spans="1:8" x14ac:dyDescent="0.3">
      <c r="A132" t="s">
        <v>136</v>
      </c>
      <c r="B132" s="4" t="d">
        <v>2025-05-11</v>
      </c>
      <c r="C132" t="s">
        <v>741</v>
      </c>
      <c r="D132" t="s">
        <v>746</v>
      </c>
      <c r="E132" t="s">
        <v>757</v>
      </c>
      <c r="F132" t="s">
        <v>747</v>
      </c>
      <c r="H132" t="s">
        <v>759</v>
      </c>
    </row>
    <row r="133" spans="1:8" x14ac:dyDescent="0.3">
      <c r="A133" t="s">
        <v>137</v>
      </c>
      <c r="B133" s="4" t="d">
        <v>2025-05-12</v>
      </c>
      <c r="C133" t="s">
        <v>741</v>
      </c>
      <c r="D133" t="s">
        <v>746</v>
      </c>
      <c r="E133" t="s">
        <v>755</v>
      </c>
      <c r="F133" t="s">
        <v>747</v>
      </c>
      <c r="G133" s="9">
        <v>29</v>
      </c>
      <c r="H133">
        <v>5</v>
      </c>
    </row>
    <row r="134" spans="1:8" x14ac:dyDescent="0.3">
      <c r="A134" t="s">
        <v>138</v>
      </c>
      <c r="B134" s="4" t="d">
        <v>2025-05-13</v>
      </c>
      <c r="C134" t="s">
        <v>766</v>
      </c>
      <c r="D134" t="s">
        <v>745</v>
      </c>
      <c r="E134" t="s">
        <v>757</v>
      </c>
      <c r="F134" t="s">
        <v>750</v>
      </c>
      <c r="H134" t="s">
        <v>759</v>
      </c>
    </row>
    <row r="135" spans="1:8" x14ac:dyDescent="0.3">
      <c r="A135" t="s">
        <v>139</v>
      </c>
      <c r="B135" s="4" t="d">
        <v>2025-05-14</v>
      </c>
      <c r="C135" t="s">
        <v>741</v>
      </c>
      <c r="D135" t="s">
        <v>745</v>
      </c>
      <c r="E135" t="s">
        <v>756</v>
      </c>
      <c r="F135" t="s">
        <v>752</v>
      </c>
      <c r="H135" t="s">
        <v>759</v>
      </c>
    </row>
    <row r="136" spans="1:8" x14ac:dyDescent="0.3">
      <c r="A136" t="s">
        <v>140</v>
      </c>
      <c r="B136" s="4" t="d">
        <v>2025-05-15</v>
      </c>
      <c r="C136" t="s">
        <v>765</v>
      </c>
      <c r="D136" t="s">
        <v>745</v>
      </c>
      <c r="E136" t="s">
        <v>758</v>
      </c>
      <c r="F136" t="s">
        <v>748</v>
      </c>
      <c r="H136" t="s">
        <v>759</v>
      </c>
    </row>
    <row r="137" spans="1:8" x14ac:dyDescent="0.3">
      <c r="A137" t="s">
        <v>141</v>
      </c>
      <c r="B137" s="4" t="d">
        <v>2025-05-16</v>
      </c>
      <c r="C137" t="s">
        <v>767</v>
      </c>
      <c r="D137" t="s">
        <v>746</v>
      </c>
      <c r="E137" t="s">
        <v>756</v>
      </c>
      <c r="F137" t="s">
        <v>747</v>
      </c>
      <c r="H137" t="s">
        <v>759</v>
      </c>
    </row>
    <row r="138" spans="1:8" x14ac:dyDescent="0.3">
      <c r="A138" t="s">
        <v>142</v>
      </c>
      <c r="B138" s="4" t="d">
        <v>2025-05-17</v>
      </c>
      <c r="C138" t="s">
        <v>766</v>
      </c>
      <c r="D138" t="s">
        <v>745</v>
      </c>
      <c r="E138" t="s">
        <v>756</v>
      </c>
      <c r="F138" t="s">
        <v>748</v>
      </c>
      <c r="H138" t="s">
        <v>759</v>
      </c>
    </row>
    <row r="139" spans="1:8" x14ac:dyDescent="0.3">
      <c r="A139" t="s">
        <v>143</v>
      </c>
      <c r="B139" s="4" t="d">
        <v>2025-05-18</v>
      </c>
      <c r="C139" t="s">
        <v>741</v>
      </c>
      <c r="D139" t="s">
        <v>745</v>
      </c>
      <c r="E139" t="s">
        <v>756</v>
      </c>
      <c r="F139" t="s">
        <v>754</v>
      </c>
      <c r="H139" t="s">
        <v>759</v>
      </c>
    </row>
    <row r="140" spans="1:8" x14ac:dyDescent="0.3">
      <c r="A140" t="s">
        <v>144</v>
      </c>
      <c r="B140" s="4" t="d">
        <v>2025-05-19</v>
      </c>
      <c r="C140" t="s">
        <v>767</v>
      </c>
      <c r="D140" t="s">
        <v>746</v>
      </c>
      <c r="E140" t="s">
        <v>756</v>
      </c>
      <c r="F140" t="s">
        <v>753</v>
      </c>
      <c r="H140" t="s">
        <v>759</v>
      </c>
    </row>
    <row r="141" spans="1:8" x14ac:dyDescent="0.3">
      <c r="A141" t="s">
        <v>145</v>
      </c>
      <c r="B141" s="4" t="d">
        <v>2025-05-20</v>
      </c>
      <c r="C141" t="s">
        <v>741</v>
      </c>
      <c r="D141" t="s">
        <v>745</v>
      </c>
      <c r="E141" t="s">
        <v>755</v>
      </c>
      <c r="F141" t="s">
        <v>748</v>
      </c>
      <c r="G141" s="9">
        <v>16</v>
      </c>
      <c r="H141">
        <v>4</v>
      </c>
    </row>
    <row r="142" spans="1:8" x14ac:dyDescent="0.3">
      <c r="A142" t="s">
        <v>146</v>
      </c>
      <c r="B142" s="4" t="d">
        <v>2025-05-21</v>
      </c>
      <c r="C142" t="s">
        <v>765</v>
      </c>
      <c r="D142" t="s">
        <v>745</v>
      </c>
      <c r="E142" t="s">
        <v>756</v>
      </c>
      <c r="F142" t="s">
        <v>752</v>
      </c>
      <c r="H142" t="s">
        <v>759</v>
      </c>
    </row>
    <row r="143" spans="1:8" x14ac:dyDescent="0.3">
      <c r="A143" t="s">
        <v>147</v>
      </c>
      <c r="B143" s="4" t="d">
        <v>2025-05-22</v>
      </c>
      <c r="C143" t="s">
        <v>740</v>
      </c>
      <c r="D143" t="s">
        <v>746</v>
      </c>
      <c r="E143" t="s">
        <v>755</v>
      </c>
      <c r="F143" t="s">
        <v>751</v>
      </c>
      <c r="G143" s="9">
        <v>8</v>
      </c>
      <c r="H143">
        <v>4</v>
      </c>
    </row>
    <row r="144" spans="1:8" x14ac:dyDescent="0.3">
      <c r="A144" t="s">
        <v>148</v>
      </c>
      <c r="B144" s="4" t="d">
        <v>2025-05-23</v>
      </c>
      <c r="C144" t="s">
        <v>765</v>
      </c>
      <c r="D144" t="s">
        <v>745</v>
      </c>
      <c r="E144" t="s">
        <v>755</v>
      </c>
      <c r="F144" t="s">
        <v>747</v>
      </c>
      <c r="G144" s="9">
        <v>7</v>
      </c>
      <c r="H144">
        <v>3</v>
      </c>
    </row>
    <row r="145" spans="1:8" x14ac:dyDescent="0.3">
      <c r="A145" t="s">
        <v>149</v>
      </c>
      <c r="B145" s="4" t="d">
        <v>2025-05-24</v>
      </c>
      <c r="C145" t="s">
        <v>740</v>
      </c>
      <c r="D145" t="s">
        <v>746</v>
      </c>
      <c r="E145" t="s">
        <v>757</v>
      </c>
      <c r="F145" t="s">
        <v>750</v>
      </c>
      <c r="H145" t="s">
        <v>759</v>
      </c>
    </row>
    <row r="146" spans="1:8" x14ac:dyDescent="0.3">
      <c r="A146" t="s">
        <v>150</v>
      </c>
      <c r="B146" s="4" t="d">
        <v>2025-05-25</v>
      </c>
      <c r="C146" t="s">
        <v>740</v>
      </c>
      <c r="D146" t="s">
        <v>746</v>
      </c>
      <c r="E146" t="s">
        <v>755</v>
      </c>
      <c r="F146" t="s">
        <v>753</v>
      </c>
      <c r="G146" s="9">
        <v>8</v>
      </c>
      <c r="H146">
        <v>3</v>
      </c>
    </row>
    <row r="147" spans="1:8" x14ac:dyDescent="0.3">
      <c r="A147" t="s">
        <v>151</v>
      </c>
      <c r="B147" s="4" t="d">
        <v>2025-05-26</v>
      </c>
      <c r="C147" t="s">
        <v>740</v>
      </c>
      <c r="D147" t="s">
        <v>746</v>
      </c>
      <c r="E147" t="s">
        <v>756</v>
      </c>
      <c r="F147" t="s">
        <v>749</v>
      </c>
      <c r="H147" t="s">
        <v>759</v>
      </c>
    </row>
    <row r="148" spans="1:8" x14ac:dyDescent="0.3">
      <c r="A148" t="s">
        <v>152</v>
      </c>
      <c r="B148" s="4" t="d">
        <v>2025-05-27</v>
      </c>
      <c r="C148" t="s">
        <v>765</v>
      </c>
      <c r="D148" t="s">
        <v>745</v>
      </c>
      <c r="E148" t="s">
        <v>758</v>
      </c>
      <c r="F148" t="s">
        <v>752</v>
      </c>
      <c r="H148" t="s">
        <v>759</v>
      </c>
    </row>
    <row r="149" spans="1:8" x14ac:dyDescent="0.3">
      <c r="A149" t="s">
        <v>153</v>
      </c>
      <c r="B149" s="4" t="d">
        <v>2025-05-28</v>
      </c>
      <c r="C149" t="s">
        <v>765</v>
      </c>
      <c r="D149" t="s">
        <v>745</v>
      </c>
      <c r="E149" t="s">
        <v>757</v>
      </c>
      <c r="F149" t="s">
        <v>748</v>
      </c>
      <c r="H149" t="s">
        <v>759</v>
      </c>
    </row>
    <row r="150" spans="1:8" x14ac:dyDescent="0.3">
      <c r="A150" t="s">
        <v>154</v>
      </c>
      <c r="B150" s="4" t="d">
        <v>2025-05-29</v>
      </c>
      <c r="C150" t="s">
        <v>765</v>
      </c>
      <c r="D150" t="s">
        <v>745</v>
      </c>
      <c r="E150" t="s">
        <v>758</v>
      </c>
      <c r="F150" t="s">
        <v>754</v>
      </c>
      <c r="H150" t="s">
        <v>759</v>
      </c>
    </row>
    <row r="151" spans="1:8" x14ac:dyDescent="0.3">
      <c r="A151" t="s">
        <v>155</v>
      </c>
      <c r="B151" s="4" t="d">
        <v>2025-05-30</v>
      </c>
      <c r="C151" t="s">
        <v>765</v>
      </c>
      <c r="D151" t="s">
        <v>745</v>
      </c>
      <c r="E151" t="s">
        <v>756</v>
      </c>
      <c r="F151" t="s">
        <v>753</v>
      </c>
      <c r="H151" t="s">
        <v>759</v>
      </c>
    </row>
    <row r="152" spans="1:8" x14ac:dyDescent="0.3">
      <c r="A152" t="s">
        <v>156</v>
      </c>
      <c r="B152" s="4" t="d">
        <v>2025-05-31</v>
      </c>
      <c r="C152" t="s">
        <v>766</v>
      </c>
      <c r="D152" t="s">
        <v>745</v>
      </c>
      <c r="E152" t="s">
        <v>758</v>
      </c>
      <c r="F152" t="s">
        <v>748</v>
      </c>
      <c r="H152" t="s">
        <v>759</v>
      </c>
    </row>
    <row r="153" spans="1:8" x14ac:dyDescent="0.3">
      <c r="A153" t="s">
        <v>157</v>
      </c>
      <c r="B153" s="4" t="d">
        <v>2025-06-01</v>
      </c>
      <c r="C153" t="s">
        <v>765</v>
      </c>
      <c r="D153" t="s">
        <v>745</v>
      </c>
      <c r="E153" t="s">
        <v>758</v>
      </c>
      <c r="F153" t="s">
        <v>750</v>
      </c>
      <c r="H153" t="s">
        <v>759</v>
      </c>
    </row>
    <row r="154" spans="1:8" x14ac:dyDescent="0.3">
      <c r="A154" t="s">
        <v>158</v>
      </c>
      <c r="B154" s="4" t="d">
        <v>2025-06-02</v>
      </c>
      <c r="C154" t="s">
        <v>766</v>
      </c>
      <c r="D154" t="s">
        <v>745</v>
      </c>
      <c r="E154" t="s">
        <v>755</v>
      </c>
      <c r="F154" t="s">
        <v>748</v>
      </c>
      <c r="G154" s="9">
        <v>15</v>
      </c>
      <c r="H154">
        <v>3</v>
      </c>
    </row>
    <row r="155" spans="1:8" x14ac:dyDescent="0.3">
      <c r="A155" t="s">
        <v>159</v>
      </c>
      <c r="B155" s="4" t="d">
        <v>2025-06-03</v>
      </c>
      <c r="C155" t="s">
        <v>741</v>
      </c>
      <c r="D155" t="s">
        <v>746</v>
      </c>
      <c r="E155" t="s">
        <v>755</v>
      </c>
      <c r="F155" t="s">
        <v>747</v>
      </c>
      <c r="G155" s="9">
        <v>36</v>
      </c>
      <c r="H155">
        <v>4</v>
      </c>
    </row>
    <row r="156" spans="1:8" x14ac:dyDescent="0.3">
      <c r="A156" t="s">
        <v>160</v>
      </c>
      <c r="B156" s="4" t="d">
        <v>2025-06-04</v>
      </c>
      <c r="C156" t="s">
        <v>766</v>
      </c>
      <c r="D156" t="s">
        <v>746</v>
      </c>
      <c r="E156" t="s">
        <v>755</v>
      </c>
      <c r="F156" t="s">
        <v>753</v>
      </c>
      <c r="G156" s="9">
        <v>30</v>
      </c>
      <c r="H156">
        <v>5</v>
      </c>
    </row>
    <row r="157" spans="1:8" x14ac:dyDescent="0.3">
      <c r="A157" t="s">
        <v>161</v>
      </c>
      <c r="B157" s="4" t="d">
        <v>2025-06-05</v>
      </c>
      <c r="C157" t="s">
        <v>741</v>
      </c>
      <c r="D157" t="s">
        <v>745</v>
      </c>
      <c r="E157" t="s">
        <v>758</v>
      </c>
      <c r="F157" t="s">
        <v>750</v>
      </c>
      <c r="H157" t="s">
        <v>759</v>
      </c>
    </row>
    <row r="158" spans="1:8" x14ac:dyDescent="0.3">
      <c r="A158" t="s">
        <v>162</v>
      </c>
      <c r="B158" s="4" t="d">
        <v>2025-06-06</v>
      </c>
      <c r="C158" t="s">
        <v>767</v>
      </c>
      <c r="D158" t="s">
        <v>746</v>
      </c>
      <c r="E158" t="s">
        <v>756</v>
      </c>
      <c r="F158" t="s">
        <v>748</v>
      </c>
      <c r="H158" t="s">
        <v>759</v>
      </c>
    </row>
    <row r="159" spans="1:8" x14ac:dyDescent="0.3">
      <c r="A159" t="s">
        <v>163</v>
      </c>
      <c r="B159" s="4" t="d">
        <v>2025-06-07</v>
      </c>
      <c r="C159" t="s">
        <v>740</v>
      </c>
      <c r="D159" t="s">
        <v>746</v>
      </c>
      <c r="E159" t="s">
        <v>755</v>
      </c>
      <c r="F159" t="s">
        <v>750</v>
      </c>
      <c r="G159" s="9">
        <v>3</v>
      </c>
      <c r="H159">
        <v>4</v>
      </c>
    </row>
    <row r="160" spans="1:8" x14ac:dyDescent="0.3">
      <c r="A160" t="s">
        <v>164</v>
      </c>
      <c r="B160" s="4" t="d">
        <v>2025-06-08</v>
      </c>
      <c r="C160" t="s">
        <v>741</v>
      </c>
      <c r="D160" t="s">
        <v>745</v>
      </c>
      <c r="E160" t="s">
        <v>755</v>
      </c>
      <c r="F160" t="s">
        <v>748</v>
      </c>
      <c r="G160" s="9">
        <v>45</v>
      </c>
      <c r="H160">
        <v>3</v>
      </c>
    </row>
    <row r="161" spans="1:8" x14ac:dyDescent="0.3">
      <c r="A161" t="s">
        <v>165</v>
      </c>
      <c r="B161" s="4" t="d">
        <v>2025-06-09</v>
      </c>
      <c r="C161" t="s">
        <v>741</v>
      </c>
      <c r="D161" t="s">
        <v>746</v>
      </c>
      <c r="E161" t="s">
        <v>755</v>
      </c>
      <c r="F161" t="s">
        <v>751</v>
      </c>
      <c r="G161" s="9">
        <v>14</v>
      </c>
      <c r="H161">
        <v>4</v>
      </c>
    </row>
    <row r="162" spans="1:8" x14ac:dyDescent="0.3">
      <c r="A162" t="s">
        <v>166</v>
      </c>
      <c r="B162" s="4" t="d">
        <v>2025-06-10</v>
      </c>
      <c r="C162" t="s">
        <v>765</v>
      </c>
      <c r="D162" t="s">
        <v>745</v>
      </c>
      <c r="E162" t="s">
        <v>756</v>
      </c>
      <c r="F162" t="s">
        <v>752</v>
      </c>
      <c r="H162" t="s">
        <v>759</v>
      </c>
    </row>
    <row r="163" spans="1:8" x14ac:dyDescent="0.3">
      <c r="A163" t="s">
        <v>167</v>
      </c>
      <c r="B163" s="4" t="d">
        <v>2025-06-11</v>
      </c>
      <c r="C163" t="s">
        <v>766</v>
      </c>
      <c r="D163" t="s">
        <v>746</v>
      </c>
      <c r="E163" t="s">
        <v>756</v>
      </c>
      <c r="F163" t="s">
        <v>747</v>
      </c>
      <c r="H163" t="s">
        <v>759</v>
      </c>
    </row>
    <row r="164" spans="1:8" x14ac:dyDescent="0.3">
      <c r="A164" t="s">
        <v>168</v>
      </c>
      <c r="B164" s="4" t="d">
        <v>2025-06-12</v>
      </c>
      <c r="C164" t="s">
        <v>767</v>
      </c>
      <c r="D164" t="s">
        <v>746</v>
      </c>
      <c r="E164" t="s">
        <v>755</v>
      </c>
      <c r="F164" t="s">
        <v>751</v>
      </c>
      <c r="G164" s="9">
        <v>15</v>
      </c>
      <c r="H164">
        <v>3</v>
      </c>
    </row>
    <row r="165" spans="1:8" x14ac:dyDescent="0.3">
      <c r="A165" t="s">
        <v>169</v>
      </c>
      <c r="B165" s="4" t="d">
        <v>2025-06-13</v>
      </c>
      <c r="C165" t="s">
        <v>766</v>
      </c>
      <c r="D165" t="s">
        <v>746</v>
      </c>
      <c r="E165" t="s">
        <v>755</v>
      </c>
      <c r="F165" t="s">
        <v>751</v>
      </c>
      <c r="G165" s="9">
        <v>24</v>
      </c>
      <c r="H165">
        <v>4</v>
      </c>
    </row>
    <row r="166" spans="1:8" x14ac:dyDescent="0.3">
      <c r="A166" t="s">
        <v>170</v>
      </c>
      <c r="B166" s="4" t="d">
        <v>2025-06-14</v>
      </c>
      <c r="C166" t="s">
        <v>740</v>
      </c>
      <c r="D166" t="s">
        <v>746</v>
      </c>
      <c r="E166" t="s">
        <v>755</v>
      </c>
      <c r="F166" t="s">
        <v>753</v>
      </c>
      <c r="G166" s="9">
        <v>7</v>
      </c>
      <c r="H166">
        <v>4</v>
      </c>
    </row>
    <row r="167" spans="1:8" x14ac:dyDescent="0.3">
      <c r="A167" t="s">
        <v>171</v>
      </c>
      <c r="B167" s="4" t="d">
        <v>2025-06-15</v>
      </c>
      <c r="C167" t="s">
        <v>741</v>
      </c>
      <c r="D167" t="s">
        <v>745</v>
      </c>
      <c r="E167" t="s">
        <v>757</v>
      </c>
      <c r="F167" t="s">
        <v>749</v>
      </c>
      <c r="H167" t="s">
        <v>759</v>
      </c>
    </row>
    <row r="168" spans="1:8" x14ac:dyDescent="0.3">
      <c r="A168" t="s">
        <v>172</v>
      </c>
      <c r="B168" s="4" t="d">
        <v>2025-06-16</v>
      </c>
      <c r="C168" t="s">
        <v>740</v>
      </c>
      <c r="D168" t="s">
        <v>746</v>
      </c>
      <c r="E168" t="s">
        <v>756</v>
      </c>
      <c r="F168" t="s">
        <v>752</v>
      </c>
      <c r="H168" t="s">
        <v>759</v>
      </c>
    </row>
    <row r="169" spans="1:8" x14ac:dyDescent="0.3">
      <c r="A169" t="s">
        <v>173</v>
      </c>
      <c r="B169" s="4" t="d">
        <v>2025-06-17</v>
      </c>
      <c r="C169" t="s">
        <v>766</v>
      </c>
      <c r="D169" t="s">
        <v>746</v>
      </c>
      <c r="E169" t="s">
        <v>757</v>
      </c>
      <c r="F169" t="s">
        <v>750</v>
      </c>
      <c r="H169" t="s">
        <v>759</v>
      </c>
    </row>
    <row r="170" spans="1:8" x14ac:dyDescent="0.3">
      <c r="A170" t="s">
        <v>174</v>
      </c>
      <c r="B170" s="4" t="d">
        <v>2025-06-18</v>
      </c>
      <c r="C170" t="s">
        <v>766</v>
      </c>
      <c r="D170" t="s">
        <v>745</v>
      </c>
      <c r="E170" t="s">
        <v>756</v>
      </c>
      <c r="F170" t="s">
        <v>754</v>
      </c>
      <c r="H170" t="s">
        <v>759</v>
      </c>
    </row>
    <row r="171" spans="1:8" x14ac:dyDescent="0.3">
      <c r="A171" t="s">
        <v>175</v>
      </c>
      <c r="B171" s="4" t="d">
        <v>2025-06-19</v>
      </c>
      <c r="C171" t="s">
        <v>766</v>
      </c>
      <c r="D171" t="s">
        <v>745</v>
      </c>
      <c r="E171" t="s">
        <v>757</v>
      </c>
      <c r="F171" t="s">
        <v>749</v>
      </c>
      <c r="H171" t="s">
        <v>759</v>
      </c>
    </row>
    <row r="172" spans="1:8" x14ac:dyDescent="0.3">
      <c r="A172" t="s">
        <v>176</v>
      </c>
      <c r="B172" s="4" t="d">
        <v>2025-06-20</v>
      </c>
      <c r="C172" t="s">
        <v>740</v>
      </c>
      <c r="D172" t="s">
        <v>746</v>
      </c>
      <c r="E172" t="s">
        <v>755</v>
      </c>
      <c r="F172" t="s">
        <v>747</v>
      </c>
      <c r="G172" s="9">
        <v>5</v>
      </c>
      <c r="H172">
        <v>5</v>
      </c>
    </row>
    <row r="173" spans="1:8" x14ac:dyDescent="0.3">
      <c r="A173" t="s">
        <v>177</v>
      </c>
      <c r="B173" s="4" t="d">
        <v>2025-06-21</v>
      </c>
      <c r="C173" t="s">
        <v>767</v>
      </c>
      <c r="D173" t="s">
        <v>746</v>
      </c>
      <c r="E173" t="s">
        <v>756</v>
      </c>
      <c r="F173" t="s">
        <v>748</v>
      </c>
      <c r="H173" t="s">
        <v>759</v>
      </c>
    </row>
    <row r="174" spans="1:8" x14ac:dyDescent="0.3">
      <c r="A174" t="s">
        <v>178</v>
      </c>
      <c r="B174" s="4" t="d">
        <v>2025-06-22</v>
      </c>
      <c r="C174" t="s">
        <v>766</v>
      </c>
      <c r="D174" t="s">
        <v>745</v>
      </c>
      <c r="E174" t="s">
        <v>756</v>
      </c>
      <c r="F174" t="s">
        <v>751</v>
      </c>
      <c r="H174" t="s">
        <v>759</v>
      </c>
    </row>
    <row r="175" spans="1:8" x14ac:dyDescent="0.3">
      <c r="A175" t="s">
        <v>179</v>
      </c>
      <c r="B175" s="4" t="d">
        <v>2025-06-23</v>
      </c>
      <c r="C175" t="s">
        <v>766</v>
      </c>
      <c r="D175" t="s">
        <v>745</v>
      </c>
      <c r="E175" t="s">
        <v>755</v>
      </c>
      <c r="F175" t="s">
        <v>754</v>
      </c>
      <c r="G175" s="9">
        <v>31</v>
      </c>
      <c r="H175">
        <v>4</v>
      </c>
    </row>
    <row r="176" spans="1:8" x14ac:dyDescent="0.3">
      <c r="A176" t="s">
        <v>180</v>
      </c>
      <c r="B176" s="4" t="d">
        <v>2025-06-24</v>
      </c>
      <c r="C176" t="s">
        <v>766</v>
      </c>
      <c r="D176" t="s">
        <v>746</v>
      </c>
      <c r="E176" t="s">
        <v>757</v>
      </c>
      <c r="F176" t="s">
        <v>748</v>
      </c>
      <c r="H176" t="s">
        <v>759</v>
      </c>
    </row>
    <row r="177" spans="1:8" x14ac:dyDescent="0.3">
      <c r="A177" t="s">
        <v>181</v>
      </c>
      <c r="B177" s="4" t="d">
        <v>2025-06-25</v>
      </c>
      <c r="C177" t="s">
        <v>741</v>
      </c>
      <c r="D177" t="s">
        <v>746</v>
      </c>
      <c r="E177" t="s">
        <v>756</v>
      </c>
      <c r="F177" t="s">
        <v>747</v>
      </c>
      <c r="H177" t="s">
        <v>759</v>
      </c>
    </row>
    <row r="178" spans="1:8" x14ac:dyDescent="0.3">
      <c r="A178" t="s">
        <v>182</v>
      </c>
      <c r="B178" s="4" t="d">
        <v>2025-06-26</v>
      </c>
      <c r="C178" t="s">
        <v>741</v>
      </c>
      <c r="D178" t="s">
        <v>745</v>
      </c>
      <c r="E178" t="s">
        <v>758</v>
      </c>
      <c r="F178" t="s">
        <v>752</v>
      </c>
      <c r="H178" t="s">
        <v>759</v>
      </c>
    </row>
    <row r="179" spans="1:8" x14ac:dyDescent="0.3">
      <c r="A179" t="s">
        <v>183</v>
      </c>
      <c r="B179" s="4" t="d">
        <v>2025-06-27</v>
      </c>
      <c r="C179" t="s">
        <v>740</v>
      </c>
      <c r="D179" t="s">
        <v>746</v>
      </c>
      <c r="E179" t="s">
        <v>757</v>
      </c>
      <c r="F179" t="s">
        <v>748</v>
      </c>
      <c r="H179" t="s">
        <v>759</v>
      </c>
    </row>
    <row r="180" spans="1:8" x14ac:dyDescent="0.3">
      <c r="A180" t="s">
        <v>184</v>
      </c>
      <c r="B180" s="4" t="d">
        <v>2025-06-28</v>
      </c>
      <c r="C180" t="s">
        <v>741</v>
      </c>
      <c r="D180" t="s">
        <v>745</v>
      </c>
      <c r="E180" t="s">
        <v>755</v>
      </c>
      <c r="F180" t="s">
        <v>750</v>
      </c>
      <c r="G180" s="9">
        <v>47</v>
      </c>
      <c r="H180">
        <v>4</v>
      </c>
    </row>
    <row r="181" spans="1:8" x14ac:dyDescent="0.3">
      <c r="A181" t="s">
        <v>185</v>
      </c>
      <c r="B181" s="4" t="d">
        <v>2025-06-29</v>
      </c>
      <c r="C181" t="s">
        <v>741</v>
      </c>
      <c r="D181" t="s">
        <v>746</v>
      </c>
      <c r="E181" t="s">
        <v>755</v>
      </c>
      <c r="F181" t="s">
        <v>747</v>
      </c>
      <c r="G181" s="9">
        <v>18</v>
      </c>
      <c r="H181">
        <v>5</v>
      </c>
    </row>
    <row r="182" spans="1:8" x14ac:dyDescent="0.3">
      <c r="A182" t="s">
        <v>186</v>
      </c>
      <c r="B182" s="4" t="d">
        <v>2025-06-30</v>
      </c>
      <c r="C182" t="s">
        <v>741</v>
      </c>
      <c r="D182" t="s">
        <v>746</v>
      </c>
      <c r="E182" t="s">
        <v>758</v>
      </c>
      <c r="F182" t="s">
        <v>751</v>
      </c>
      <c r="H182" t="s">
        <v>759</v>
      </c>
    </row>
    <row r="183" spans="1:8" x14ac:dyDescent="0.3">
      <c r="A183" t="s">
        <v>187</v>
      </c>
      <c r="B183" s="4" t="d">
        <v>2025-07-01</v>
      </c>
      <c r="C183" t="s">
        <v>767</v>
      </c>
      <c r="D183" t="s">
        <v>746</v>
      </c>
      <c r="E183" t="s">
        <v>755</v>
      </c>
      <c r="F183" t="s">
        <v>747</v>
      </c>
      <c r="G183" s="9">
        <v>15</v>
      </c>
      <c r="H183">
        <v>5</v>
      </c>
    </row>
    <row r="184" spans="1:8" x14ac:dyDescent="0.3">
      <c r="A184" t="s">
        <v>188</v>
      </c>
      <c r="B184" s="4" t="d">
        <v>2025-07-02</v>
      </c>
      <c r="C184" t="s">
        <v>741</v>
      </c>
      <c r="D184" t="s">
        <v>745</v>
      </c>
      <c r="E184" t="s">
        <v>756</v>
      </c>
      <c r="F184" t="s">
        <v>754</v>
      </c>
      <c r="H184" t="s">
        <v>759</v>
      </c>
    </row>
    <row r="185" spans="1:8" x14ac:dyDescent="0.3">
      <c r="A185" t="s">
        <v>189</v>
      </c>
      <c r="B185" s="4" t="d">
        <v>2025-07-03</v>
      </c>
      <c r="C185" t="s">
        <v>766</v>
      </c>
      <c r="D185" t="s">
        <v>746</v>
      </c>
      <c r="E185" t="s">
        <v>757</v>
      </c>
      <c r="F185" t="s">
        <v>750</v>
      </c>
      <c r="H185" t="s">
        <v>759</v>
      </c>
    </row>
    <row r="186" spans="1:8" x14ac:dyDescent="0.3">
      <c r="A186" t="s">
        <v>190</v>
      </c>
      <c r="B186" s="4" t="d">
        <v>2025-07-04</v>
      </c>
      <c r="C186" t="s">
        <v>741</v>
      </c>
      <c r="D186" t="s">
        <v>745</v>
      </c>
      <c r="E186" t="s">
        <v>755</v>
      </c>
      <c r="F186" t="s">
        <v>748</v>
      </c>
      <c r="G186" s="9">
        <v>35</v>
      </c>
      <c r="H186">
        <v>3</v>
      </c>
    </row>
    <row r="187" spans="1:8" x14ac:dyDescent="0.3">
      <c r="A187" t="s">
        <v>191</v>
      </c>
      <c r="B187" s="4" t="d">
        <v>2025-07-05</v>
      </c>
      <c r="C187" t="s">
        <v>740</v>
      </c>
      <c r="D187" t="s">
        <v>746</v>
      </c>
      <c r="E187" t="s">
        <v>756</v>
      </c>
      <c r="F187" t="s">
        <v>751</v>
      </c>
      <c r="H187" t="s">
        <v>759</v>
      </c>
    </row>
    <row r="188" spans="1:8" x14ac:dyDescent="0.3">
      <c r="A188" t="s">
        <v>192</v>
      </c>
      <c r="B188" s="4" t="d">
        <v>2025-07-06</v>
      </c>
      <c r="C188" t="s">
        <v>766</v>
      </c>
      <c r="D188" t="s">
        <v>746</v>
      </c>
      <c r="E188" t="s">
        <v>756</v>
      </c>
      <c r="F188" t="s">
        <v>747</v>
      </c>
      <c r="H188" t="s">
        <v>759</v>
      </c>
    </row>
    <row r="189" spans="1:8" x14ac:dyDescent="0.3">
      <c r="A189" t="s">
        <v>193</v>
      </c>
      <c r="B189" s="4" t="d">
        <v>2025-07-07</v>
      </c>
      <c r="C189" t="s">
        <v>741</v>
      </c>
      <c r="D189" t="s">
        <v>746</v>
      </c>
      <c r="E189" t="s">
        <v>757</v>
      </c>
      <c r="F189" t="s">
        <v>750</v>
      </c>
      <c r="H189" t="s">
        <v>759</v>
      </c>
    </row>
    <row r="190" spans="1:8" x14ac:dyDescent="0.3">
      <c r="A190" t="s">
        <v>194</v>
      </c>
      <c r="B190" s="4" t="d">
        <v>2025-07-08</v>
      </c>
      <c r="C190" t="s">
        <v>765</v>
      </c>
      <c r="D190" t="s">
        <v>745</v>
      </c>
      <c r="E190" t="s">
        <v>755</v>
      </c>
      <c r="F190" t="s">
        <v>750</v>
      </c>
      <c r="G190" s="9">
        <v>6</v>
      </c>
      <c r="H190">
        <v>3</v>
      </c>
    </row>
    <row r="191" spans="1:8" x14ac:dyDescent="0.3">
      <c r="A191" t="s">
        <v>195</v>
      </c>
      <c r="B191" s="4" t="d">
        <v>2025-07-09</v>
      </c>
      <c r="C191" t="s">
        <v>741</v>
      </c>
      <c r="D191" t="s">
        <v>746</v>
      </c>
      <c r="E191" t="s">
        <v>756</v>
      </c>
      <c r="F191" t="s">
        <v>754</v>
      </c>
      <c r="H191" t="s">
        <v>759</v>
      </c>
    </row>
    <row r="192" spans="1:8" x14ac:dyDescent="0.3">
      <c r="A192" t="s">
        <v>196</v>
      </c>
      <c r="B192" s="4" t="d">
        <v>2025-07-10</v>
      </c>
      <c r="C192" t="s">
        <v>740</v>
      </c>
      <c r="D192" t="s">
        <v>746</v>
      </c>
      <c r="E192" t="s">
        <v>755</v>
      </c>
      <c r="F192" t="s">
        <v>748</v>
      </c>
      <c r="G192" s="9">
        <v>6</v>
      </c>
      <c r="H192">
        <v>4</v>
      </c>
    </row>
    <row r="193" spans="1:8" x14ac:dyDescent="0.3">
      <c r="A193" t="s">
        <v>197</v>
      </c>
      <c r="B193" s="4" t="d">
        <v>2025-07-11</v>
      </c>
      <c r="C193" t="s">
        <v>741</v>
      </c>
      <c r="D193" t="s">
        <v>745</v>
      </c>
      <c r="E193" t="s">
        <v>755</v>
      </c>
      <c r="F193" t="s">
        <v>750</v>
      </c>
      <c r="G193" s="9">
        <v>40</v>
      </c>
      <c r="H193">
        <v>3</v>
      </c>
    </row>
    <row r="194" spans="1:8" x14ac:dyDescent="0.3">
      <c r="A194" t="s">
        <v>198</v>
      </c>
      <c r="B194" s="4" t="d">
        <v>2025-07-12</v>
      </c>
      <c r="C194" t="s">
        <v>767</v>
      </c>
      <c r="D194" t="s">
        <v>746</v>
      </c>
      <c r="E194" t="s">
        <v>756</v>
      </c>
      <c r="F194" t="s">
        <v>752</v>
      </c>
      <c r="H194" t="s">
        <v>759</v>
      </c>
    </row>
    <row r="195" spans="1:8" x14ac:dyDescent="0.3">
      <c r="A195" t="s">
        <v>199</v>
      </c>
      <c r="B195" s="4" t="d">
        <v>2025-07-13</v>
      </c>
      <c r="C195" t="s">
        <v>740</v>
      </c>
      <c r="D195" t="s">
        <v>746</v>
      </c>
      <c r="E195" t="s">
        <v>756</v>
      </c>
      <c r="F195" t="s">
        <v>750</v>
      </c>
      <c r="H195" t="s">
        <v>759</v>
      </c>
    </row>
    <row r="196" spans="1:8" x14ac:dyDescent="0.3">
      <c r="A196" t="s">
        <v>200</v>
      </c>
      <c r="B196" s="4" t="d">
        <v>2025-07-14</v>
      </c>
      <c r="C196" t="s">
        <v>740</v>
      </c>
      <c r="D196" t="s">
        <v>746</v>
      </c>
      <c r="E196" t="s">
        <v>758</v>
      </c>
      <c r="F196" t="s">
        <v>754</v>
      </c>
      <c r="H196" t="s">
        <v>759</v>
      </c>
    </row>
    <row r="197" spans="1:8" x14ac:dyDescent="0.3">
      <c r="A197" t="s">
        <v>201</v>
      </c>
      <c r="B197" s="4" t="d">
        <v>2025-07-15</v>
      </c>
      <c r="C197" t="s">
        <v>767</v>
      </c>
      <c r="D197" t="s">
        <v>746</v>
      </c>
      <c r="E197" t="s">
        <v>756</v>
      </c>
      <c r="F197" t="s">
        <v>752</v>
      </c>
      <c r="H197" t="s">
        <v>759</v>
      </c>
    </row>
    <row r="198" spans="1:8" x14ac:dyDescent="0.3">
      <c r="A198" t="s">
        <v>202</v>
      </c>
      <c r="B198" s="4" t="d">
        <v>2025-07-16</v>
      </c>
      <c r="C198" t="s">
        <v>741</v>
      </c>
      <c r="D198" t="s">
        <v>745</v>
      </c>
      <c r="E198" t="s">
        <v>756</v>
      </c>
      <c r="F198" t="s">
        <v>749</v>
      </c>
      <c r="H198" t="s">
        <v>759</v>
      </c>
    </row>
    <row r="199" spans="1:8" x14ac:dyDescent="0.3">
      <c r="A199" t="s">
        <v>203</v>
      </c>
      <c r="B199" s="4" t="d">
        <v>2025-07-17</v>
      </c>
      <c r="C199" t="s">
        <v>740</v>
      </c>
      <c r="D199" t="s">
        <v>746</v>
      </c>
      <c r="E199" t="s">
        <v>757</v>
      </c>
      <c r="F199" t="s">
        <v>749</v>
      </c>
      <c r="H199" t="s">
        <v>759</v>
      </c>
    </row>
    <row r="200" spans="1:8" x14ac:dyDescent="0.3">
      <c r="A200" t="s">
        <v>204</v>
      </c>
      <c r="B200" s="4" t="d">
        <v>2025-07-18</v>
      </c>
      <c r="C200" t="s">
        <v>741</v>
      </c>
      <c r="D200" t="s">
        <v>745</v>
      </c>
      <c r="E200" t="s">
        <v>755</v>
      </c>
      <c r="F200" t="s">
        <v>754</v>
      </c>
      <c r="G200" s="9">
        <v>14</v>
      </c>
      <c r="H200">
        <v>4</v>
      </c>
    </row>
    <row r="201" spans="1:8" x14ac:dyDescent="0.3">
      <c r="A201" t="s">
        <v>205</v>
      </c>
      <c r="B201" s="4" t="d">
        <v>2025-07-19</v>
      </c>
      <c r="C201" t="s">
        <v>740</v>
      </c>
      <c r="D201" t="s">
        <v>746</v>
      </c>
      <c r="E201" t="s">
        <v>756</v>
      </c>
      <c r="F201" t="s">
        <v>748</v>
      </c>
      <c r="H201" t="s">
        <v>759</v>
      </c>
    </row>
    <row r="202" spans="1:8" x14ac:dyDescent="0.3">
      <c r="A202" t="s">
        <v>206</v>
      </c>
      <c r="B202" s="4" t="d">
        <v>2025-07-20</v>
      </c>
      <c r="C202" t="s">
        <v>740</v>
      </c>
      <c r="D202" t="s">
        <v>746</v>
      </c>
      <c r="E202" t="s">
        <v>756</v>
      </c>
      <c r="F202" t="s">
        <v>754</v>
      </c>
      <c r="H202" t="s">
        <v>759</v>
      </c>
    </row>
    <row r="203" spans="1:8" x14ac:dyDescent="0.3">
      <c r="A203" t="s">
        <v>207</v>
      </c>
      <c r="B203" s="4" t="d">
        <v>2025-07-21</v>
      </c>
      <c r="C203" t="s">
        <v>741</v>
      </c>
      <c r="D203" t="s">
        <v>746</v>
      </c>
      <c r="E203" t="s">
        <v>757</v>
      </c>
      <c r="F203" t="s">
        <v>748</v>
      </c>
      <c r="H203" t="s">
        <v>759</v>
      </c>
    </row>
    <row r="204" spans="1:8" x14ac:dyDescent="0.3">
      <c r="A204" t="s">
        <v>208</v>
      </c>
      <c r="B204" s="4" t="d">
        <v>2025-07-22</v>
      </c>
      <c r="C204" t="s">
        <v>767</v>
      </c>
      <c r="D204" t="s">
        <v>746</v>
      </c>
      <c r="E204" t="s">
        <v>757</v>
      </c>
      <c r="F204" t="s">
        <v>752</v>
      </c>
      <c r="H204" t="s">
        <v>759</v>
      </c>
    </row>
    <row r="205" spans="1:8" x14ac:dyDescent="0.3">
      <c r="A205" t="s">
        <v>209</v>
      </c>
      <c r="B205" s="4" t="d">
        <v>2025-07-23</v>
      </c>
      <c r="C205" t="s">
        <v>740</v>
      </c>
      <c r="D205" t="s">
        <v>746</v>
      </c>
      <c r="E205" t="s">
        <v>755</v>
      </c>
      <c r="F205" t="s">
        <v>749</v>
      </c>
      <c r="G205" s="9">
        <v>4</v>
      </c>
      <c r="H205">
        <v>5</v>
      </c>
    </row>
    <row r="206" spans="1:8" x14ac:dyDescent="0.3">
      <c r="A206" t="s">
        <v>210</v>
      </c>
      <c r="B206" s="4" t="d">
        <v>2025-07-24</v>
      </c>
      <c r="C206" t="s">
        <v>740</v>
      </c>
      <c r="D206" t="s">
        <v>746</v>
      </c>
      <c r="E206" t="s">
        <v>756</v>
      </c>
      <c r="F206" t="s">
        <v>751</v>
      </c>
      <c r="H206" t="s">
        <v>759</v>
      </c>
    </row>
    <row r="207" spans="1:8" x14ac:dyDescent="0.3">
      <c r="A207" t="s">
        <v>211</v>
      </c>
      <c r="B207" s="4" t="d">
        <v>2025-07-25</v>
      </c>
      <c r="C207" t="s">
        <v>765</v>
      </c>
      <c r="D207" t="s">
        <v>745</v>
      </c>
      <c r="E207" t="s">
        <v>757</v>
      </c>
      <c r="F207" t="s">
        <v>747</v>
      </c>
      <c r="H207" t="s">
        <v>759</v>
      </c>
    </row>
    <row r="208" spans="1:8" x14ac:dyDescent="0.3">
      <c r="A208" t="s">
        <v>212</v>
      </c>
      <c r="B208" s="4" t="d">
        <v>2025-07-26</v>
      </c>
      <c r="C208" t="s">
        <v>740</v>
      </c>
      <c r="D208" t="s">
        <v>746</v>
      </c>
      <c r="E208" t="s">
        <v>756</v>
      </c>
      <c r="F208" t="s">
        <v>748</v>
      </c>
      <c r="H208" t="s">
        <v>759</v>
      </c>
    </row>
    <row r="209" spans="1:8" x14ac:dyDescent="0.3">
      <c r="A209" t="s">
        <v>213</v>
      </c>
      <c r="B209" s="4" t="d">
        <v>2025-07-27</v>
      </c>
      <c r="C209" t="s">
        <v>767</v>
      </c>
      <c r="D209" t="s">
        <v>746</v>
      </c>
      <c r="E209" t="s">
        <v>756</v>
      </c>
      <c r="F209" t="s">
        <v>748</v>
      </c>
      <c r="H209" t="s">
        <v>759</v>
      </c>
    </row>
    <row r="210" spans="1:8" x14ac:dyDescent="0.3">
      <c r="A210" t="s">
        <v>214</v>
      </c>
      <c r="B210" s="4" t="d">
        <v>2025-07-28</v>
      </c>
      <c r="C210" t="s">
        <v>767</v>
      </c>
      <c r="D210" t="s">
        <v>746</v>
      </c>
      <c r="E210" t="s">
        <v>756</v>
      </c>
      <c r="F210" t="s">
        <v>749</v>
      </c>
      <c r="H210" t="s">
        <v>759</v>
      </c>
    </row>
    <row r="211" spans="1:8" x14ac:dyDescent="0.3">
      <c r="A211" t="s">
        <v>215</v>
      </c>
      <c r="B211" s="4" t="d">
        <v>2025-07-29</v>
      </c>
      <c r="C211" t="s">
        <v>740</v>
      </c>
      <c r="D211" t="s">
        <v>746</v>
      </c>
      <c r="E211" t="s">
        <v>758</v>
      </c>
      <c r="F211" t="s">
        <v>751</v>
      </c>
      <c r="H211" t="s">
        <v>759</v>
      </c>
    </row>
    <row r="212" spans="1:8" x14ac:dyDescent="0.3">
      <c r="A212" t="s">
        <v>216</v>
      </c>
      <c r="B212" s="4" t="d">
        <v>2025-07-30</v>
      </c>
      <c r="C212" t="s">
        <v>765</v>
      </c>
      <c r="D212" t="s">
        <v>745</v>
      </c>
      <c r="E212" t="s">
        <v>755</v>
      </c>
      <c r="F212" t="s">
        <v>747</v>
      </c>
      <c r="G212" s="9">
        <v>5</v>
      </c>
      <c r="H212">
        <v>4</v>
      </c>
    </row>
    <row r="213" spans="1:8" x14ac:dyDescent="0.3">
      <c r="A213" t="s">
        <v>217</v>
      </c>
      <c r="B213" s="4" t="d">
        <v>2025-07-31</v>
      </c>
      <c r="C213" t="s">
        <v>741</v>
      </c>
      <c r="D213" t="s">
        <v>745</v>
      </c>
      <c r="E213" t="s">
        <v>756</v>
      </c>
      <c r="F213" t="s">
        <v>754</v>
      </c>
      <c r="H213" t="s">
        <v>759</v>
      </c>
    </row>
    <row r="214" spans="1:8" x14ac:dyDescent="0.3">
      <c r="A214" t="s">
        <v>218</v>
      </c>
      <c r="B214" s="4" t="d">
        <v>2025-08-01</v>
      </c>
      <c r="C214" t="s">
        <v>741</v>
      </c>
      <c r="D214" t="s">
        <v>746</v>
      </c>
      <c r="E214" t="s">
        <v>756</v>
      </c>
      <c r="F214" t="s">
        <v>747</v>
      </c>
      <c r="H214" t="s">
        <v>759</v>
      </c>
    </row>
    <row r="215" spans="1:8" x14ac:dyDescent="0.3">
      <c r="A215" t="s">
        <v>219</v>
      </c>
      <c r="B215" s="4" t="d">
        <v>2025-08-02</v>
      </c>
      <c r="C215" t="s">
        <v>765</v>
      </c>
      <c r="D215" t="s">
        <v>745</v>
      </c>
      <c r="E215" t="s">
        <v>757</v>
      </c>
      <c r="F215" t="s">
        <v>753</v>
      </c>
      <c r="H215" t="s">
        <v>759</v>
      </c>
    </row>
    <row r="216" spans="1:8" x14ac:dyDescent="0.3">
      <c r="A216" t="s">
        <v>220</v>
      </c>
      <c r="B216" s="4" t="d">
        <v>2025-08-03</v>
      </c>
      <c r="C216" t="s">
        <v>766</v>
      </c>
      <c r="D216" t="s">
        <v>745</v>
      </c>
      <c r="E216" t="s">
        <v>758</v>
      </c>
      <c r="F216" t="s">
        <v>747</v>
      </c>
      <c r="H216" t="s">
        <v>759</v>
      </c>
    </row>
    <row r="217" spans="1:8" x14ac:dyDescent="0.3">
      <c r="A217" t="s">
        <v>221</v>
      </c>
      <c r="B217" s="4" t="d">
        <v>2025-08-04</v>
      </c>
      <c r="C217" t="s">
        <v>766</v>
      </c>
      <c r="D217" t="s">
        <v>745</v>
      </c>
      <c r="E217" t="s">
        <v>757</v>
      </c>
      <c r="F217" t="s">
        <v>754</v>
      </c>
      <c r="H217" t="s">
        <v>759</v>
      </c>
    </row>
    <row r="218" spans="1:8" x14ac:dyDescent="0.3">
      <c r="A218" t="s">
        <v>222</v>
      </c>
      <c r="B218" s="4" t="d">
        <v>2025-08-05</v>
      </c>
      <c r="C218" t="s">
        <v>766</v>
      </c>
      <c r="D218" t="s">
        <v>746</v>
      </c>
      <c r="E218" t="s">
        <v>757</v>
      </c>
      <c r="F218" t="s">
        <v>754</v>
      </c>
      <c r="H218" t="s">
        <v>759</v>
      </c>
    </row>
    <row r="219" spans="1:8" x14ac:dyDescent="0.3">
      <c r="A219" t="s">
        <v>223</v>
      </c>
      <c r="B219" s="4" t="d">
        <v>2025-08-06</v>
      </c>
      <c r="C219" t="s">
        <v>741</v>
      </c>
      <c r="D219" t="s">
        <v>746</v>
      </c>
      <c r="E219" t="s">
        <v>756</v>
      </c>
      <c r="F219" t="s">
        <v>750</v>
      </c>
      <c r="H219" t="s">
        <v>759</v>
      </c>
    </row>
    <row r="220" spans="1:8" x14ac:dyDescent="0.3">
      <c r="A220" t="s">
        <v>224</v>
      </c>
      <c r="B220" s="4" t="d">
        <v>2025-08-07</v>
      </c>
      <c r="C220" t="s">
        <v>740</v>
      </c>
      <c r="D220" t="s">
        <v>746</v>
      </c>
      <c r="E220" t="s">
        <v>757</v>
      </c>
      <c r="F220" t="s">
        <v>751</v>
      </c>
      <c r="H220" t="s">
        <v>759</v>
      </c>
    </row>
    <row r="221" spans="1:8" x14ac:dyDescent="0.3">
      <c r="A221" t="s">
        <v>225</v>
      </c>
      <c r="B221" s="4" t="d">
        <v>2025-08-08</v>
      </c>
      <c r="C221" t="s">
        <v>766</v>
      </c>
      <c r="D221" t="s">
        <v>746</v>
      </c>
      <c r="E221" t="s">
        <v>756</v>
      </c>
      <c r="F221" t="s">
        <v>754</v>
      </c>
      <c r="H221" t="s">
        <v>759</v>
      </c>
    </row>
    <row r="222" spans="1:8" x14ac:dyDescent="0.3">
      <c r="A222" t="s">
        <v>226</v>
      </c>
      <c r="B222" s="4" t="d">
        <v>2025-08-09</v>
      </c>
      <c r="C222" t="s">
        <v>740</v>
      </c>
      <c r="D222" t="s">
        <v>746</v>
      </c>
      <c r="E222" t="s">
        <v>758</v>
      </c>
      <c r="F222" t="s">
        <v>753</v>
      </c>
      <c r="H222" t="s">
        <v>759</v>
      </c>
    </row>
    <row r="223" spans="1:8" x14ac:dyDescent="0.3">
      <c r="A223" t="s">
        <v>227</v>
      </c>
      <c r="B223" s="4" t="d">
        <v>2025-08-10</v>
      </c>
      <c r="C223" t="s">
        <v>765</v>
      </c>
      <c r="D223" t="s">
        <v>745</v>
      </c>
      <c r="E223" t="s">
        <v>756</v>
      </c>
      <c r="F223" t="s">
        <v>754</v>
      </c>
      <c r="H223" t="s">
        <v>759</v>
      </c>
    </row>
    <row r="224" spans="1:8" x14ac:dyDescent="0.3">
      <c r="A224" t="s">
        <v>228</v>
      </c>
      <c r="B224" s="4" t="d">
        <v>2025-08-11</v>
      </c>
      <c r="C224" t="s">
        <v>740</v>
      </c>
      <c r="D224" t="s">
        <v>746</v>
      </c>
      <c r="E224" t="s">
        <v>755</v>
      </c>
      <c r="F224" t="s">
        <v>752</v>
      </c>
      <c r="G224" s="9">
        <v>4</v>
      </c>
      <c r="H224">
        <v>3</v>
      </c>
    </row>
    <row r="225" spans="1:8" x14ac:dyDescent="0.3">
      <c r="A225" t="s">
        <v>229</v>
      </c>
      <c r="B225" s="4" t="d">
        <v>2025-08-12</v>
      </c>
      <c r="C225" t="s">
        <v>766</v>
      </c>
      <c r="D225" t="s">
        <v>746</v>
      </c>
      <c r="E225" t="s">
        <v>757</v>
      </c>
      <c r="F225" t="s">
        <v>754</v>
      </c>
      <c r="H225" t="s">
        <v>759</v>
      </c>
    </row>
    <row r="226" spans="1:8" x14ac:dyDescent="0.3">
      <c r="A226" t="s">
        <v>230</v>
      </c>
      <c r="B226" s="4" t="d">
        <v>2025-08-13</v>
      </c>
      <c r="C226" t="s">
        <v>740</v>
      </c>
      <c r="D226" t="s">
        <v>746</v>
      </c>
      <c r="E226" t="s">
        <v>757</v>
      </c>
      <c r="F226" t="s">
        <v>754</v>
      </c>
      <c r="H226" t="s">
        <v>759</v>
      </c>
    </row>
    <row r="227" spans="1:8" x14ac:dyDescent="0.3">
      <c r="A227" t="s">
        <v>231</v>
      </c>
      <c r="B227" s="4" t="d">
        <v>2025-08-14</v>
      </c>
      <c r="C227" t="s">
        <v>741</v>
      </c>
      <c r="D227" t="s">
        <v>745</v>
      </c>
      <c r="E227" t="s">
        <v>755</v>
      </c>
      <c r="F227" t="s">
        <v>749</v>
      </c>
      <c r="G227" s="9">
        <v>15</v>
      </c>
      <c r="H227">
        <v>3</v>
      </c>
    </row>
    <row r="228" spans="1:8" x14ac:dyDescent="0.3">
      <c r="A228" t="s">
        <v>232</v>
      </c>
      <c r="B228" s="4" t="d">
        <v>2025-08-15</v>
      </c>
      <c r="C228" t="s">
        <v>740</v>
      </c>
      <c r="D228" t="s">
        <v>746</v>
      </c>
      <c r="E228" t="s">
        <v>758</v>
      </c>
      <c r="F228" t="s">
        <v>747</v>
      </c>
      <c r="H228" t="s">
        <v>759</v>
      </c>
    </row>
    <row r="229" spans="1:8" x14ac:dyDescent="0.3">
      <c r="A229" t="s">
        <v>233</v>
      </c>
      <c r="B229" s="4" t="d">
        <v>2025-08-16</v>
      </c>
      <c r="C229" t="s">
        <v>740</v>
      </c>
      <c r="D229" t="s">
        <v>746</v>
      </c>
      <c r="E229" t="s">
        <v>755</v>
      </c>
      <c r="F229" t="s">
        <v>749</v>
      </c>
      <c r="G229" s="9">
        <v>4</v>
      </c>
      <c r="H229">
        <v>5</v>
      </c>
    </row>
    <row r="230" spans="1:8" x14ac:dyDescent="0.3">
      <c r="A230" t="s">
        <v>234</v>
      </c>
      <c r="B230" s="4" t="d">
        <v>2025-08-17</v>
      </c>
      <c r="C230" t="s">
        <v>766</v>
      </c>
      <c r="D230" t="s">
        <v>745</v>
      </c>
      <c r="E230" t="s">
        <v>756</v>
      </c>
      <c r="F230" t="s">
        <v>752</v>
      </c>
      <c r="H230" t="s">
        <v>759</v>
      </c>
    </row>
    <row r="231" spans="1:8" x14ac:dyDescent="0.3">
      <c r="A231" t="s">
        <v>235</v>
      </c>
      <c r="B231" s="4" t="d">
        <v>2025-08-18</v>
      </c>
      <c r="C231" t="s">
        <v>767</v>
      </c>
      <c r="D231" t="s">
        <v>746</v>
      </c>
      <c r="E231" t="s">
        <v>756</v>
      </c>
      <c r="F231" t="s">
        <v>748</v>
      </c>
      <c r="H231" t="s">
        <v>759</v>
      </c>
    </row>
    <row r="232" spans="1:8" x14ac:dyDescent="0.3">
      <c r="A232" t="s">
        <v>236</v>
      </c>
      <c r="B232" s="4" t="d">
        <v>2025-08-19</v>
      </c>
      <c r="C232" t="s">
        <v>765</v>
      </c>
      <c r="D232" t="s">
        <v>745</v>
      </c>
      <c r="E232" t="s">
        <v>757</v>
      </c>
      <c r="F232" t="s">
        <v>753</v>
      </c>
      <c r="H232" t="s">
        <v>759</v>
      </c>
    </row>
    <row r="233" spans="1:8" x14ac:dyDescent="0.3">
      <c r="A233" t="s">
        <v>237</v>
      </c>
      <c r="B233" s="4" t="d">
        <v>2025-08-20</v>
      </c>
      <c r="C233" t="s">
        <v>741</v>
      </c>
      <c r="D233" t="s">
        <v>746</v>
      </c>
      <c r="E233" t="s">
        <v>758</v>
      </c>
      <c r="F233" t="s">
        <v>754</v>
      </c>
      <c r="H233" t="s">
        <v>759</v>
      </c>
    </row>
    <row r="234" spans="1:8" x14ac:dyDescent="0.3">
      <c r="A234" t="s">
        <v>238</v>
      </c>
      <c r="B234" s="4" t="d">
        <v>2025-08-21</v>
      </c>
      <c r="C234" t="s">
        <v>740</v>
      </c>
      <c r="D234" t="s">
        <v>746</v>
      </c>
      <c r="E234" t="s">
        <v>757</v>
      </c>
      <c r="F234" t="s">
        <v>747</v>
      </c>
      <c r="H234" t="s">
        <v>759</v>
      </c>
    </row>
    <row r="235" spans="1:8" x14ac:dyDescent="0.3">
      <c r="A235" t="s">
        <v>239</v>
      </c>
      <c r="B235" s="4" t="d">
        <v>2025-08-22</v>
      </c>
      <c r="C235" t="s">
        <v>765</v>
      </c>
      <c r="D235" t="s">
        <v>745</v>
      </c>
      <c r="E235" t="s">
        <v>758</v>
      </c>
      <c r="F235" t="s">
        <v>754</v>
      </c>
      <c r="H235" t="s">
        <v>759</v>
      </c>
    </row>
    <row r="236" spans="1:8" x14ac:dyDescent="0.3">
      <c r="A236" t="s">
        <v>240</v>
      </c>
      <c r="B236" s="4" t="d">
        <v>2025-08-23</v>
      </c>
      <c r="C236" t="s">
        <v>741</v>
      </c>
      <c r="D236" t="s">
        <v>746</v>
      </c>
      <c r="E236" t="s">
        <v>755</v>
      </c>
      <c r="F236" t="s">
        <v>754</v>
      </c>
      <c r="G236" s="9">
        <v>38</v>
      </c>
      <c r="H236">
        <v>4</v>
      </c>
    </row>
    <row r="237" spans="1:8" x14ac:dyDescent="0.3">
      <c r="A237" t="s">
        <v>241</v>
      </c>
      <c r="B237" s="4" t="d">
        <v>2025-08-24</v>
      </c>
      <c r="C237" t="s">
        <v>766</v>
      </c>
      <c r="D237" t="s">
        <v>745</v>
      </c>
      <c r="E237" t="s">
        <v>758</v>
      </c>
      <c r="F237" t="s">
        <v>753</v>
      </c>
      <c r="H237" t="s">
        <v>759</v>
      </c>
    </row>
    <row r="238" spans="1:8" x14ac:dyDescent="0.3">
      <c r="A238" t="s">
        <v>242</v>
      </c>
      <c r="B238" s="4" t="d">
        <v>2025-08-25</v>
      </c>
      <c r="C238" t="s">
        <v>766</v>
      </c>
      <c r="D238" t="s">
        <v>745</v>
      </c>
      <c r="E238" t="s">
        <v>755</v>
      </c>
      <c r="F238" t="s">
        <v>751</v>
      </c>
      <c r="G238" s="9">
        <v>34</v>
      </c>
      <c r="H238">
        <v>5</v>
      </c>
    </row>
    <row r="239" spans="1:8" x14ac:dyDescent="0.3">
      <c r="A239" t="s">
        <v>243</v>
      </c>
      <c r="B239" s="4" t="d">
        <v>2025-08-26</v>
      </c>
      <c r="C239" t="s">
        <v>741</v>
      </c>
      <c r="D239" t="s">
        <v>745</v>
      </c>
      <c r="E239" t="s">
        <v>757</v>
      </c>
      <c r="F239" t="s">
        <v>750</v>
      </c>
      <c r="H239" t="s">
        <v>759</v>
      </c>
    </row>
    <row r="240" spans="1:8" x14ac:dyDescent="0.3">
      <c r="A240" t="s">
        <v>244</v>
      </c>
      <c r="B240" s="4" t="d">
        <v>2025-08-27</v>
      </c>
      <c r="C240" t="s">
        <v>767</v>
      </c>
      <c r="D240" t="s">
        <v>746</v>
      </c>
      <c r="E240" t="s">
        <v>755</v>
      </c>
      <c r="F240" t="s">
        <v>750</v>
      </c>
      <c r="G240" s="9">
        <v>9</v>
      </c>
      <c r="H240">
        <v>5</v>
      </c>
    </row>
    <row r="241" spans="1:8" x14ac:dyDescent="0.3">
      <c r="A241" t="s">
        <v>245</v>
      </c>
      <c r="B241" s="4" t="d">
        <v>2025-08-28</v>
      </c>
      <c r="C241" t="s">
        <v>765</v>
      </c>
      <c r="D241" t="s">
        <v>745</v>
      </c>
      <c r="E241" t="s">
        <v>756</v>
      </c>
      <c r="F241" t="s">
        <v>749</v>
      </c>
      <c r="H241" t="s">
        <v>759</v>
      </c>
    </row>
    <row r="242" spans="1:8" x14ac:dyDescent="0.3">
      <c r="A242" t="s">
        <v>246</v>
      </c>
      <c r="B242" s="4" t="d">
        <v>2025-08-29</v>
      </c>
      <c r="C242" t="s">
        <v>740</v>
      </c>
      <c r="D242" t="s">
        <v>746</v>
      </c>
      <c r="E242" t="s">
        <v>755</v>
      </c>
      <c r="F242" t="s">
        <v>747</v>
      </c>
      <c r="G242" s="9">
        <v>7</v>
      </c>
      <c r="H242">
        <v>5</v>
      </c>
    </row>
    <row r="243" spans="1:8" x14ac:dyDescent="0.3">
      <c r="A243" t="s">
        <v>247</v>
      </c>
      <c r="B243" s="4" t="d">
        <v>2025-08-30</v>
      </c>
      <c r="C243" t="s">
        <v>767</v>
      </c>
      <c r="D243" t="s">
        <v>746</v>
      </c>
      <c r="E243" t="s">
        <v>756</v>
      </c>
      <c r="F243" t="s">
        <v>753</v>
      </c>
      <c r="H243" t="s">
        <v>759</v>
      </c>
    </row>
    <row r="244" spans="1:8" x14ac:dyDescent="0.3">
      <c r="A244" t="s">
        <v>248</v>
      </c>
      <c r="B244" s="4" t="d">
        <v>2025-08-31</v>
      </c>
      <c r="C244" t="s">
        <v>767</v>
      </c>
      <c r="D244" t="s">
        <v>746</v>
      </c>
      <c r="E244" t="s">
        <v>758</v>
      </c>
      <c r="F244" t="s">
        <v>750</v>
      </c>
      <c r="H244" t="s">
        <v>759</v>
      </c>
    </row>
    <row r="245" spans="1:8" x14ac:dyDescent="0.3">
      <c r="A245" t="s">
        <v>249</v>
      </c>
      <c r="B245" s="4" t="d">
        <v>2025-09-01</v>
      </c>
      <c r="C245" t="s">
        <v>767</v>
      </c>
      <c r="D245" t="s">
        <v>746</v>
      </c>
      <c r="E245" t="s">
        <v>755</v>
      </c>
      <c r="F245" t="s">
        <v>753</v>
      </c>
      <c r="G245" s="9">
        <v>10</v>
      </c>
      <c r="H245">
        <v>5</v>
      </c>
    </row>
    <row r="246" spans="1:8" x14ac:dyDescent="0.3">
      <c r="A246" t="s">
        <v>250</v>
      </c>
      <c r="B246" s="4" t="d">
        <v>2025-09-02</v>
      </c>
      <c r="C246" t="s">
        <v>765</v>
      </c>
      <c r="D246" t="s">
        <v>745</v>
      </c>
      <c r="E246" t="s">
        <v>757</v>
      </c>
      <c r="F246" t="s">
        <v>750</v>
      </c>
      <c r="H246" t="s">
        <v>759</v>
      </c>
    </row>
    <row r="247" spans="1:8" x14ac:dyDescent="0.3">
      <c r="A247" t="s">
        <v>251</v>
      </c>
      <c r="B247" s="4" t="d">
        <v>2025-09-03</v>
      </c>
      <c r="C247" t="s">
        <v>767</v>
      </c>
      <c r="D247" t="s">
        <v>746</v>
      </c>
      <c r="E247" t="s">
        <v>755</v>
      </c>
      <c r="F247" t="s">
        <v>752</v>
      </c>
      <c r="G247" s="9">
        <v>14</v>
      </c>
      <c r="H247">
        <v>4</v>
      </c>
    </row>
    <row r="248" spans="1:8" x14ac:dyDescent="0.3">
      <c r="A248" t="s">
        <v>252</v>
      </c>
      <c r="B248" s="4" t="d">
        <v>2025-09-04</v>
      </c>
      <c r="C248" t="s">
        <v>740</v>
      </c>
      <c r="D248" t="s">
        <v>746</v>
      </c>
      <c r="E248" t="s">
        <v>755</v>
      </c>
      <c r="F248" t="s">
        <v>749</v>
      </c>
      <c r="G248" s="9">
        <v>7</v>
      </c>
      <c r="H248">
        <v>5</v>
      </c>
    </row>
    <row r="249" spans="1:8" x14ac:dyDescent="0.3">
      <c r="A249" t="s">
        <v>253</v>
      </c>
      <c r="B249" s="4" t="d">
        <v>2025-09-05</v>
      </c>
      <c r="C249" t="s">
        <v>767</v>
      </c>
      <c r="D249" t="s">
        <v>746</v>
      </c>
      <c r="E249" t="s">
        <v>757</v>
      </c>
      <c r="F249" t="s">
        <v>754</v>
      </c>
      <c r="H249" t="s">
        <v>759</v>
      </c>
    </row>
    <row r="250" spans="1:8" x14ac:dyDescent="0.3">
      <c r="A250" t="s">
        <v>254</v>
      </c>
      <c r="B250" s="4" t="d">
        <v>2025-09-06</v>
      </c>
      <c r="C250" t="s">
        <v>740</v>
      </c>
      <c r="D250" t="s">
        <v>746</v>
      </c>
      <c r="E250" t="s">
        <v>756</v>
      </c>
      <c r="F250" t="s">
        <v>747</v>
      </c>
      <c r="H250" t="s">
        <v>759</v>
      </c>
    </row>
    <row r="251" spans="1:8" x14ac:dyDescent="0.3">
      <c r="A251" t="s">
        <v>255</v>
      </c>
      <c r="B251" s="4" t="d">
        <v>2025-09-07</v>
      </c>
      <c r="C251" t="s">
        <v>766</v>
      </c>
      <c r="D251" t="s">
        <v>745</v>
      </c>
      <c r="E251" t="s">
        <v>756</v>
      </c>
      <c r="F251" t="s">
        <v>748</v>
      </c>
      <c r="H251" t="s">
        <v>759</v>
      </c>
    </row>
    <row r="252" spans="1:8" x14ac:dyDescent="0.3">
      <c r="A252" t="s">
        <v>256</v>
      </c>
      <c r="B252" s="4" t="d">
        <v>2025-09-08</v>
      </c>
      <c r="C252" t="s">
        <v>741</v>
      </c>
      <c r="D252" t="s">
        <v>746</v>
      </c>
      <c r="E252" t="s">
        <v>756</v>
      </c>
      <c r="F252" t="s">
        <v>747</v>
      </c>
      <c r="H252" t="s">
        <v>759</v>
      </c>
    </row>
    <row r="253" spans="1:8" x14ac:dyDescent="0.3">
      <c r="A253" t="s">
        <v>257</v>
      </c>
      <c r="B253" s="4" t="d">
        <v>2025-09-09</v>
      </c>
      <c r="C253" t="s">
        <v>740</v>
      </c>
      <c r="D253" t="s">
        <v>746</v>
      </c>
      <c r="E253" t="s">
        <v>755</v>
      </c>
      <c r="F253" t="s">
        <v>753</v>
      </c>
      <c r="G253" s="9">
        <v>6</v>
      </c>
      <c r="H253">
        <v>4</v>
      </c>
    </row>
    <row r="254" spans="1:8" x14ac:dyDescent="0.3">
      <c r="A254" t="s">
        <v>258</v>
      </c>
      <c r="B254" s="4" t="d">
        <v>2025-09-10</v>
      </c>
      <c r="C254" t="s">
        <v>740</v>
      </c>
      <c r="D254" t="s">
        <v>746</v>
      </c>
      <c r="E254" t="s">
        <v>756</v>
      </c>
      <c r="F254" t="s">
        <v>748</v>
      </c>
      <c r="H254" t="s">
        <v>759</v>
      </c>
    </row>
    <row r="255" spans="1:8" x14ac:dyDescent="0.3">
      <c r="A255" t="s">
        <v>259</v>
      </c>
      <c r="B255" s="4" t="d">
        <v>2025-09-11</v>
      </c>
      <c r="C255" t="s">
        <v>740</v>
      </c>
      <c r="D255" t="s">
        <v>746</v>
      </c>
      <c r="E255" t="s">
        <v>757</v>
      </c>
      <c r="F255" t="s">
        <v>748</v>
      </c>
      <c r="H255" t="s">
        <v>759</v>
      </c>
    </row>
    <row r="256" spans="1:8" x14ac:dyDescent="0.3">
      <c r="A256" t="s">
        <v>260</v>
      </c>
      <c r="B256" s="4" t="d">
        <v>2025-09-12</v>
      </c>
      <c r="C256" t="s">
        <v>740</v>
      </c>
      <c r="D256" t="s">
        <v>746</v>
      </c>
      <c r="E256" t="s">
        <v>756</v>
      </c>
      <c r="F256" t="s">
        <v>747</v>
      </c>
      <c r="H256" t="s">
        <v>759</v>
      </c>
    </row>
    <row r="257" spans="1:8" x14ac:dyDescent="0.3">
      <c r="A257" t="s">
        <v>261</v>
      </c>
      <c r="B257" s="4" t="d">
        <v>2025-09-13</v>
      </c>
      <c r="C257" t="s">
        <v>767</v>
      </c>
      <c r="D257" t="s">
        <v>746</v>
      </c>
      <c r="E257" t="s">
        <v>755</v>
      </c>
      <c r="F257" t="s">
        <v>752</v>
      </c>
      <c r="G257" s="9">
        <v>5</v>
      </c>
      <c r="H257">
        <v>4</v>
      </c>
    </row>
    <row r="258" spans="1:8" x14ac:dyDescent="0.3">
      <c r="A258" t="s">
        <v>262</v>
      </c>
      <c r="B258" s="4" t="d">
        <v>2025-09-14</v>
      </c>
      <c r="C258" t="s">
        <v>766</v>
      </c>
      <c r="D258" t="s">
        <v>746</v>
      </c>
      <c r="E258" t="s">
        <v>758</v>
      </c>
      <c r="F258" t="s">
        <v>753</v>
      </c>
      <c r="H258" t="s">
        <v>759</v>
      </c>
    </row>
    <row r="259" spans="1:8" x14ac:dyDescent="0.3">
      <c r="A259" t="s">
        <v>263</v>
      </c>
      <c r="B259" s="4" t="d">
        <v>2025-09-15</v>
      </c>
      <c r="C259" t="s">
        <v>766</v>
      </c>
      <c r="D259" t="s">
        <v>746</v>
      </c>
      <c r="E259" t="s">
        <v>757</v>
      </c>
      <c r="F259" t="s">
        <v>749</v>
      </c>
      <c r="H259" t="s">
        <v>759</v>
      </c>
    </row>
    <row r="260" spans="1:8" x14ac:dyDescent="0.3">
      <c r="A260" t="s">
        <v>264</v>
      </c>
      <c r="B260" s="4" t="d">
        <v>2025-09-16</v>
      </c>
      <c r="C260" t="s">
        <v>740</v>
      </c>
      <c r="D260" t="s">
        <v>746</v>
      </c>
      <c r="E260" t="s">
        <v>758</v>
      </c>
      <c r="F260" t="s">
        <v>749</v>
      </c>
      <c r="H260" t="s">
        <v>759</v>
      </c>
    </row>
    <row r="261" spans="1:8" x14ac:dyDescent="0.3">
      <c r="A261" t="s">
        <v>265</v>
      </c>
      <c r="B261" s="4" t="d">
        <v>2025-09-17</v>
      </c>
      <c r="C261" t="s">
        <v>765</v>
      </c>
      <c r="D261" t="s">
        <v>745</v>
      </c>
      <c r="E261" t="s">
        <v>755</v>
      </c>
      <c r="F261" t="s">
        <v>754</v>
      </c>
      <c r="G261" s="9">
        <v>5</v>
      </c>
      <c r="H261">
        <v>5</v>
      </c>
    </row>
    <row r="262" spans="1:8" x14ac:dyDescent="0.3">
      <c r="A262" t="s">
        <v>266</v>
      </c>
      <c r="B262" s="4" t="d">
        <v>2025-09-18</v>
      </c>
      <c r="C262" t="s">
        <v>741</v>
      </c>
      <c r="D262" t="s">
        <v>745</v>
      </c>
      <c r="E262" t="s">
        <v>756</v>
      </c>
      <c r="F262" t="s">
        <v>747</v>
      </c>
      <c r="H262" t="s">
        <v>759</v>
      </c>
    </row>
    <row r="263" spans="1:8" x14ac:dyDescent="0.3">
      <c r="A263" t="s">
        <v>267</v>
      </c>
      <c r="B263" s="4" t="d">
        <v>2025-09-19</v>
      </c>
      <c r="C263" t="s">
        <v>740</v>
      </c>
      <c r="D263" t="s">
        <v>746</v>
      </c>
      <c r="E263" t="s">
        <v>755</v>
      </c>
      <c r="F263" t="s">
        <v>751</v>
      </c>
      <c r="G263" s="9">
        <v>3</v>
      </c>
      <c r="H263">
        <v>4</v>
      </c>
    </row>
    <row r="264" spans="1:8" x14ac:dyDescent="0.3">
      <c r="A264" t="s">
        <v>268</v>
      </c>
      <c r="B264" s="4" t="d">
        <v>2025-09-20</v>
      </c>
      <c r="C264" t="s">
        <v>766</v>
      </c>
      <c r="D264" t="s">
        <v>746</v>
      </c>
      <c r="E264" t="s">
        <v>755</v>
      </c>
      <c r="F264" t="s">
        <v>754</v>
      </c>
      <c r="G264" s="9">
        <v>41</v>
      </c>
      <c r="H264">
        <v>4</v>
      </c>
    </row>
    <row r="265" spans="1:8" x14ac:dyDescent="0.3">
      <c r="A265" t="s">
        <v>269</v>
      </c>
      <c r="B265" s="4" t="d">
        <v>2025-09-21</v>
      </c>
      <c r="C265" t="s">
        <v>740</v>
      </c>
      <c r="D265" t="s">
        <v>746</v>
      </c>
      <c r="E265" t="s">
        <v>757</v>
      </c>
      <c r="F265" t="s">
        <v>754</v>
      </c>
      <c r="H265" t="s">
        <v>759</v>
      </c>
    </row>
    <row r="266" spans="1:8" x14ac:dyDescent="0.3">
      <c r="A266" t="s">
        <v>270</v>
      </c>
      <c r="B266" s="4" t="d">
        <v>2025-09-22</v>
      </c>
      <c r="C266" t="s">
        <v>765</v>
      </c>
      <c r="D266" t="s">
        <v>745</v>
      </c>
      <c r="E266" t="s">
        <v>756</v>
      </c>
      <c r="F266" t="s">
        <v>752</v>
      </c>
      <c r="H266" t="s">
        <v>759</v>
      </c>
    </row>
    <row r="267" spans="1:8" x14ac:dyDescent="0.3">
      <c r="A267" t="s">
        <v>271</v>
      </c>
      <c r="B267" s="4" t="d">
        <v>2025-09-23</v>
      </c>
      <c r="C267" t="s">
        <v>740</v>
      </c>
      <c r="D267" t="s">
        <v>746</v>
      </c>
      <c r="E267" t="s">
        <v>755</v>
      </c>
      <c r="F267" t="s">
        <v>751</v>
      </c>
      <c r="G267" s="9">
        <v>4</v>
      </c>
      <c r="H267">
        <v>4</v>
      </c>
    </row>
    <row r="268" spans="1:8" x14ac:dyDescent="0.3">
      <c r="A268" t="s">
        <v>272</v>
      </c>
      <c r="B268" s="4" t="d">
        <v>2025-09-24</v>
      </c>
      <c r="C268" t="s">
        <v>741</v>
      </c>
      <c r="D268" t="s">
        <v>745</v>
      </c>
      <c r="E268" t="s">
        <v>756</v>
      </c>
      <c r="F268" t="s">
        <v>753</v>
      </c>
      <c r="H268" t="s">
        <v>759</v>
      </c>
    </row>
    <row r="269" spans="1:8" x14ac:dyDescent="0.3">
      <c r="A269" t="s">
        <v>273</v>
      </c>
      <c r="B269" s="4" t="d">
        <v>2025-09-25</v>
      </c>
      <c r="C269" t="s">
        <v>741</v>
      </c>
      <c r="D269" t="s">
        <v>746</v>
      </c>
      <c r="E269" t="s">
        <v>755</v>
      </c>
      <c r="F269" t="s">
        <v>750</v>
      </c>
      <c r="G269" s="9">
        <v>26</v>
      </c>
      <c r="H269">
        <v>4</v>
      </c>
    </row>
    <row r="270" spans="1:8" x14ac:dyDescent="0.3">
      <c r="A270" t="s">
        <v>274</v>
      </c>
      <c r="B270" s="4" t="d">
        <v>2025-09-26</v>
      </c>
      <c r="C270" t="s">
        <v>740</v>
      </c>
      <c r="D270" t="s">
        <v>746</v>
      </c>
      <c r="E270" t="s">
        <v>758</v>
      </c>
      <c r="F270" t="s">
        <v>750</v>
      </c>
      <c r="H270" t="s">
        <v>759</v>
      </c>
    </row>
    <row r="271" spans="1:8" x14ac:dyDescent="0.3">
      <c r="A271" t="s">
        <v>275</v>
      </c>
      <c r="B271" s="4" t="d">
        <v>2025-09-27</v>
      </c>
      <c r="C271" t="s">
        <v>741</v>
      </c>
      <c r="D271" t="s">
        <v>746</v>
      </c>
      <c r="E271" t="s">
        <v>755</v>
      </c>
      <c r="F271" t="s">
        <v>753</v>
      </c>
      <c r="G271" s="9">
        <v>33</v>
      </c>
      <c r="H271">
        <v>4</v>
      </c>
    </row>
    <row r="272" spans="1:8" x14ac:dyDescent="0.3">
      <c r="A272" t="s">
        <v>276</v>
      </c>
      <c r="B272" s="4" t="d">
        <v>2025-09-28</v>
      </c>
      <c r="C272" t="s">
        <v>740</v>
      </c>
      <c r="D272" t="s">
        <v>746</v>
      </c>
      <c r="E272" t="s">
        <v>756</v>
      </c>
      <c r="F272" t="s">
        <v>750</v>
      </c>
      <c r="H272" t="s">
        <v>759</v>
      </c>
    </row>
    <row r="273" spans="1:8" x14ac:dyDescent="0.3">
      <c r="A273" t="s">
        <v>277</v>
      </c>
      <c r="B273" s="4" t="d">
        <v>2025-09-29</v>
      </c>
      <c r="C273" t="s">
        <v>765</v>
      </c>
      <c r="D273" t="s">
        <v>745</v>
      </c>
      <c r="E273" t="s">
        <v>756</v>
      </c>
      <c r="F273" t="s">
        <v>750</v>
      </c>
      <c r="H273" t="s">
        <v>759</v>
      </c>
    </row>
    <row r="274" spans="1:8" x14ac:dyDescent="0.3">
      <c r="A274" t="s">
        <v>278</v>
      </c>
      <c r="B274" s="4" t="d">
        <v>2025-09-30</v>
      </c>
      <c r="C274" t="s">
        <v>767</v>
      </c>
      <c r="D274" t="s">
        <v>746</v>
      </c>
      <c r="E274" t="s">
        <v>756</v>
      </c>
      <c r="F274" t="s">
        <v>747</v>
      </c>
      <c r="H274" t="s">
        <v>759</v>
      </c>
    </row>
    <row r="275" spans="1:8" x14ac:dyDescent="0.3">
      <c r="A275" t="s">
        <v>279</v>
      </c>
      <c r="B275" s="4" t="d">
        <v>2025-10-01</v>
      </c>
      <c r="C275" t="s">
        <v>740</v>
      </c>
      <c r="D275" t="s">
        <v>746</v>
      </c>
      <c r="E275" t="s">
        <v>755</v>
      </c>
      <c r="F275" t="s">
        <v>751</v>
      </c>
      <c r="G275" s="9">
        <v>4</v>
      </c>
      <c r="H275">
        <v>5</v>
      </c>
    </row>
    <row r="276" spans="1:8" x14ac:dyDescent="0.3">
      <c r="A276" t="s">
        <v>280</v>
      </c>
      <c r="B276" s="4" t="d">
        <v>2025-10-02</v>
      </c>
      <c r="C276" t="s">
        <v>765</v>
      </c>
      <c r="D276" t="s">
        <v>745</v>
      </c>
      <c r="E276" t="s">
        <v>757</v>
      </c>
      <c r="F276" t="s">
        <v>750</v>
      </c>
      <c r="H276" t="s">
        <v>759</v>
      </c>
    </row>
    <row r="277" spans="1:8" x14ac:dyDescent="0.3">
      <c r="A277" t="s">
        <v>281</v>
      </c>
      <c r="B277" s="4" t="d">
        <v>2025-10-03</v>
      </c>
      <c r="C277" t="s">
        <v>767</v>
      </c>
      <c r="D277" t="s">
        <v>746</v>
      </c>
      <c r="E277" t="s">
        <v>756</v>
      </c>
      <c r="F277" t="s">
        <v>750</v>
      </c>
      <c r="H277" t="s">
        <v>759</v>
      </c>
    </row>
    <row r="278" spans="1:8" x14ac:dyDescent="0.3">
      <c r="A278" t="s">
        <v>282</v>
      </c>
      <c r="B278" s="4" t="d">
        <v>2025-10-04</v>
      </c>
      <c r="C278" t="s">
        <v>767</v>
      </c>
      <c r="D278" t="s">
        <v>746</v>
      </c>
      <c r="E278" t="s">
        <v>758</v>
      </c>
      <c r="F278" t="s">
        <v>749</v>
      </c>
      <c r="H278" t="s">
        <v>759</v>
      </c>
    </row>
    <row r="279" spans="1:8" x14ac:dyDescent="0.3">
      <c r="A279" t="s">
        <v>283</v>
      </c>
      <c r="B279" s="4" t="d">
        <v>2025-10-05</v>
      </c>
      <c r="C279" t="s">
        <v>766</v>
      </c>
      <c r="D279" t="s">
        <v>746</v>
      </c>
      <c r="E279" t="s">
        <v>755</v>
      </c>
      <c r="F279" t="s">
        <v>748</v>
      </c>
      <c r="G279" s="9">
        <v>47</v>
      </c>
      <c r="H279">
        <v>5</v>
      </c>
    </row>
    <row r="280" spans="1:8" x14ac:dyDescent="0.3">
      <c r="A280" t="s">
        <v>284</v>
      </c>
      <c r="B280" s="4" t="d">
        <v>2025-10-06</v>
      </c>
      <c r="C280" t="s">
        <v>765</v>
      </c>
      <c r="D280" t="s">
        <v>745</v>
      </c>
      <c r="E280" t="s">
        <v>756</v>
      </c>
      <c r="F280" t="s">
        <v>749</v>
      </c>
      <c r="H280" t="s">
        <v>759</v>
      </c>
    </row>
    <row r="281" spans="1:8" x14ac:dyDescent="0.3">
      <c r="A281" t="s">
        <v>285</v>
      </c>
      <c r="B281" s="4" t="d">
        <v>2025-10-07</v>
      </c>
      <c r="C281" t="s">
        <v>767</v>
      </c>
      <c r="D281" t="s">
        <v>746</v>
      </c>
      <c r="E281" t="s">
        <v>757</v>
      </c>
      <c r="F281" t="s">
        <v>750</v>
      </c>
      <c r="H281" t="s">
        <v>759</v>
      </c>
    </row>
    <row r="282" spans="1:8" x14ac:dyDescent="0.3">
      <c r="A282" t="s">
        <v>286</v>
      </c>
      <c r="B282" s="4" t="d">
        <v>2025-10-08</v>
      </c>
      <c r="C282" t="s">
        <v>740</v>
      </c>
      <c r="D282" t="s">
        <v>746</v>
      </c>
      <c r="E282" t="s">
        <v>756</v>
      </c>
      <c r="F282" t="s">
        <v>748</v>
      </c>
      <c r="H282" t="s">
        <v>759</v>
      </c>
    </row>
    <row r="283" spans="1:8" x14ac:dyDescent="0.3">
      <c r="A283" t="s">
        <v>287</v>
      </c>
      <c r="B283" s="4" t="d">
        <v>2025-10-09</v>
      </c>
      <c r="C283" t="s">
        <v>765</v>
      </c>
      <c r="D283" t="s">
        <v>745</v>
      </c>
      <c r="E283" t="s">
        <v>756</v>
      </c>
      <c r="F283" t="s">
        <v>747</v>
      </c>
      <c r="H283" t="s">
        <v>759</v>
      </c>
    </row>
    <row r="284" spans="1:8" x14ac:dyDescent="0.3">
      <c r="A284" t="s">
        <v>288</v>
      </c>
      <c r="B284" s="4" t="d">
        <v>2025-10-10</v>
      </c>
      <c r="C284" t="s">
        <v>766</v>
      </c>
      <c r="D284" t="s">
        <v>746</v>
      </c>
      <c r="E284" t="s">
        <v>756</v>
      </c>
      <c r="F284" t="s">
        <v>750</v>
      </c>
      <c r="H284" t="s">
        <v>759</v>
      </c>
    </row>
    <row r="285" spans="1:8" x14ac:dyDescent="0.3">
      <c r="A285" t="s">
        <v>289</v>
      </c>
      <c r="B285" s="4" t="d">
        <v>2025-10-11</v>
      </c>
      <c r="C285" t="s">
        <v>740</v>
      </c>
      <c r="D285" t="s">
        <v>746</v>
      </c>
      <c r="E285" t="s">
        <v>756</v>
      </c>
      <c r="F285" t="s">
        <v>751</v>
      </c>
      <c r="H285" t="s">
        <v>759</v>
      </c>
    </row>
    <row r="286" spans="1:8" x14ac:dyDescent="0.3">
      <c r="A286" t="s">
        <v>290</v>
      </c>
      <c r="B286" s="4" t="d">
        <v>2025-10-12</v>
      </c>
      <c r="C286" t="s">
        <v>765</v>
      </c>
      <c r="D286" t="s">
        <v>745</v>
      </c>
      <c r="E286" t="s">
        <v>755</v>
      </c>
      <c r="F286" t="s">
        <v>749</v>
      </c>
      <c r="G286" s="9">
        <v>5</v>
      </c>
      <c r="H286">
        <v>3</v>
      </c>
    </row>
    <row r="287" spans="1:8" x14ac:dyDescent="0.3">
      <c r="A287" t="s">
        <v>291</v>
      </c>
      <c r="B287" s="4" t="d">
        <v>2025-10-13</v>
      </c>
      <c r="C287" t="s">
        <v>766</v>
      </c>
      <c r="D287" t="s">
        <v>745</v>
      </c>
      <c r="E287" t="s">
        <v>755</v>
      </c>
      <c r="F287" t="s">
        <v>749</v>
      </c>
      <c r="G287" s="9">
        <v>26</v>
      </c>
      <c r="H287">
        <v>3</v>
      </c>
    </row>
    <row r="288" spans="1:8" x14ac:dyDescent="0.3">
      <c r="A288" t="s">
        <v>292</v>
      </c>
      <c r="B288" s="4" t="d">
        <v>2025-10-14</v>
      </c>
      <c r="C288" t="s">
        <v>741</v>
      </c>
      <c r="D288" t="s">
        <v>746</v>
      </c>
      <c r="E288" t="s">
        <v>755</v>
      </c>
      <c r="F288" t="s">
        <v>747</v>
      </c>
      <c r="G288" s="9">
        <v>12</v>
      </c>
      <c r="H288">
        <v>3</v>
      </c>
    </row>
    <row r="289" spans="1:8" x14ac:dyDescent="0.3">
      <c r="A289" t="s">
        <v>293</v>
      </c>
      <c r="B289" s="4" t="d">
        <v>2025-10-15</v>
      </c>
      <c r="C289" t="s">
        <v>766</v>
      </c>
      <c r="D289" t="s">
        <v>746</v>
      </c>
      <c r="E289" t="s">
        <v>755</v>
      </c>
      <c r="F289" t="s">
        <v>749</v>
      </c>
      <c r="G289" s="9">
        <v>21</v>
      </c>
      <c r="H289">
        <v>4</v>
      </c>
    </row>
    <row r="290" spans="1:8" x14ac:dyDescent="0.3">
      <c r="A290" t="s">
        <v>294</v>
      </c>
      <c r="B290" s="4" t="d">
        <v>2025-10-16</v>
      </c>
      <c r="C290" t="s">
        <v>740</v>
      </c>
      <c r="D290" t="s">
        <v>746</v>
      </c>
      <c r="E290" t="s">
        <v>755</v>
      </c>
      <c r="F290" t="s">
        <v>754</v>
      </c>
      <c r="G290" s="9">
        <v>5</v>
      </c>
      <c r="H290">
        <v>4</v>
      </c>
    </row>
    <row r="291" spans="1:8" x14ac:dyDescent="0.3">
      <c r="A291" t="s">
        <v>295</v>
      </c>
      <c r="B291" s="4" t="d">
        <v>2025-10-17</v>
      </c>
      <c r="C291" t="s">
        <v>766</v>
      </c>
      <c r="D291" t="s">
        <v>746</v>
      </c>
      <c r="E291" t="s">
        <v>758</v>
      </c>
      <c r="F291" t="s">
        <v>752</v>
      </c>
      <c r="H291" t="s">
        <v>759</v>
      </c>
    </row>
    <row r="292" spans="1:8" x14ac:dyDescent="0.3">
      <c r="A292" t="s">
        <v>296</v>
      </c>
      <c r="B292" s="4" t="d">
        <v>2025-10-18</v>
      </c>
      <c r="C292" t="s">
        <v>766</v>
      </c>
      <c r="D292" t="s">
        <v>745</v>
      </c>
      <c r="E292" t="s">
        <v>757</v>
      </c>
      <c r="F292" t="s">
        <v>750</v>
      </c>
      <c r="H292" t="s">
        <v>759</v>
      </c>
    </row>
    <row r="293" spans="1:8" x14ac:dyDescent="0.3">
      <c r="A293" t="s">
        <v>297</v>
      </c>
      <c r="B293" s="4" t="d">
        <v>2025-10-19</v>
      </c>
      <c r="C293" t="s">
        <v>766</v>
      </c>
      <c r="D293" t="s">
        <v>745</v>
      </c>
      <c r="E293" t="s">
        <v>755</v>
      </c>
      <c r="F293" t="s">
        <v>754</v>
      </c>
      <c r="G293" s="9">
        <v>34</v>
      </c>
      <c r="H293">
        <v>3</v>
      </c>
    </row>
    <row r="294" spans="1:8" x14ac:dyDescent="0.3">
      <c r="A294" t="s">
        <v>298</v>
      </c>
      <c r="B294" s="4" t="d">
        <v>2025-10-20</v>
      </c>
      <c r="C294" t="s">
        <v>740</v>
      </c>
      <c r="D294" t="s">
        <v>746</v>
      </c>
      <c r="E294" t="s">
        <v>758</v>
      </c>
      <c r="F294" t="s">
        <v>753</v>
      </c>
      <c r="H294" t="s">
        <v>759</v>
      </c>
    </row>
    <row r="295" spans="1:8" x14ac:dyDescent="0.3">
      <c r="A295" t="s">
        <v>299</v>
      </c>
      <c r="B295" s="4" t="d">
        <v>2025-10-21</v>
      </c>
      <c r="C295" t="s">
        <v>740</v>
      </c>
      <c r="D295" t="s">
        <v>746</v>
      </c>
      <c r="E295" t="s">
        <v>755</v>
      </c>
      <c r="F295" t="s">
        <v>751</v>
      </c>
      <c r="G295" s="9">
        <v>5</v>
      </c>
      <c r="H295">
        <v>5</v>
      </c>
    </row>
    <row r="296" spans="1:8" x14ac:dyDescent="0.3">
      <c r="A296" t="s">
        <v>300</v>
      </c>
      <c r="B296" s="4" t="d">
        <v>2025-10-22</v>
      </c>
      <c r="C296" t="s">
        <v>740</v>
      </c>
      <c r="D296" t="s">
        <v>746</v>
      </c>
      <c r="E296" t="s">
        <v>756</v>
      </c>
      <c r="F296" t="s">
        <v>751</v>
      </c>
      <c r="H296" t="s">
        <v>759</v>
      </c>
    </row>
    <row r="297" spans="1:8" x14ac:dyDescent="0.3">
      <c r="A297" t="s">
        <v>301</v>
      </c>
      <c r="B297" s="4" t="d">
        <v>2025-10-23</v>
      </c>
      <c r="C297" t="s">
        <v>765</v>
      </c>
      <c r="D297" t="s">
        <v>745</v>
      </c>
      <c r="E297" t="s">
        <v>757</v>
      </c>
      <c r="F297" t="s">
        <v>749</v>
      </c>
      <c r="H297" t="s">
        <v>759</v>
      </c>
    </row>
    <row r="298" spans="1:8" x14ac:dyDescent="0.3">
      <c r="A298" t="s">
        <v>302</v>
      </c>
      <c r="B298" s="4" t="d">
        <v>2025-10-24</v>
      </c>
      <c r="C298" t="s">
        <v>740</v>
      </c>
      <c r="D298" t="s">
        <v>746</v>
      </c>
      <c r="E298" t="s">
        <v>755</v>
      </c>
      <c r="F298" t="s">
        <v>748</v>
      </c>
      <c r="G298" s="9">
        <v>6</v>
      </c>
      <c r="H298">
        <v>4</v>
      </c>
    </row>
    <row r="299" spans="1:8" x14ac:dyDescent="0.3">
      <c r="A299" t="s">
        <v>303</v>
      </c>
      <c r="B299" s="4" t="d">
        <v>2025-10-25</v>
      </c>
      <c r="C299" t="s">
        <v>765</v>
      </c>
      <c r="D299" t="s">
        <v>745</v>
      </c>
      <c r="E299" t="s">
        <v>758</v>
      </c>
      <c r="F299" t="s">
        <v>754</v>
      </c>
      <c r="H299" t="s">
        <v>759</v>
      </c>
    </row>
    <row r="300" spans="1:8" x14ac:dyDescent="0.3">
      <c r="A300" t="s">
        <v>304</v>
      </c>
      <c r="B300" s="4" t="d">
        <v>2025-10-26</v>
      </c>
      <c r="C300" t="s">
        <v>766</v>
      </c>
      <c r="D300" t="s">
        <v>746</v>
      </c>
      <c r="E300" t="s">
        <v>756</v>
      </c>
      <c r="F300" t="s">
        <v>754</v>
      </c>
      <c r="H300" t="s">
        <v>759</v>
      </c>
    </row>
    <row r="301" spans="1:8" x14ac:dyDescent="0.3">
      <c r="A301" t="s">
        <v>305</v>
      </c>
      <c r="B301" s="4" t="d">
        <v>2025-10-27</v>
      </c>
      <c r="C301" t="s">
        <v>741</v>
      </c>
      <c r="D301" t="s">
        <v>746</v>
      </c>
      <c r="E301" t="s">
        <v>755</v>
      </c>
      <c r="F301" t="s">
        <v>747</v>
      </c>
      <c r="G301" s="9">
        <v>31</v>
      </c>
      <c r="H301">
        <v>3</v>
      </c>
    </row>
    <row r="302" spans="1:8" x14ac:dyDescent="0.3">
      <c r="A302" t="s">
        <v>306</v>
      </c>
      <c r="B302" s="4" t="d">
        <v>2025-10-28</v>
      </c>
      <c r="C302" t="s">
        <v>766</v>
      </c>
      <c r="D302" t="s">
        <v>745</v>
      </c>
      <c r="E302" t="s">
        <v>755</v>
      </c>
      <c r="F302" t="s">
        <v>751</v>
      </c>
      <c r="G302" s="9">
        <v>32</v>
      </c>
      <c r="H302">
        <v>4</v>
      </c>
    </row>
    <row r="303" spans="1:8" x14ac:dyDescent="0.3">
      <c r="A303" t="s">
        <v>307</v>
      </c>
      <c r="B303" s="4" t="d">
        <v>2025-10-29</v>
      </c>
      <c r="C303" t="s">
        <v>741</v>
      </c>
      <c r="D303" t="s">
        <v>746</v>
      </c>
      <c r="E303" t="s">
        <v>755</v>
      </c>
      <c r="F303" t="s">
        <v>750</v>
      </c>
      <c r="G303" s="9">
        <v>40</v>
      </c>
      <c r="H303">
        <v>5</v>
      </c>
    </row>
    <row r="304" spans="1:8" x14ac:dyDescent="0.3">
      <c r="A304" t="s">
        <v>308</v>
      </c>
      <c r="B304" s="4" t="d">
        <v>2025-10-30</v>
      </c>
      <c r="C304" t="s">
        <v>741</v>
      </c>
      <c r="D304" t="s">
        <v>745</v>
      </c>
      <c r="E304" t="s">
        <v>755</v>
      </c>
      <c r="F304" t="s">
        <v>754</v>
      </c>
      <c r="G304" s="9">
        <v>44</v>
      </c>
      <c r="H304">
        <v>5</v>
      </c>
    </row>
    <row r="305" spans="1:8" x14ac:dyDescent="0.3">
      <c r="A305" t="s">
        <v>309</v>
      </c>
      <c r="B305" s="4" t="d">
        <v>2025-10-31</v>
      </c>
      <c r="C305" t="s">
        <v>741</v>
      </c>
      <c r="D305" t="s">
        <v>745</v>
      </c>
      <c r="E305" t="s">
        <v>755</v>
      </c>
      <c r="F305" t="s">
        <v>748</v>
      </c>
      <c r="G305" s="9">
        <v>28</v>
      </c>
      <c r="H305">
        <v>3</v>
      </c>
    </row>
    <row r="306" spans="1:8" x14ac:dyDescent="0.3">
      <c r="A306" t="s">
        <v>310</v>
      </c>
      <c r="B306" s="4" t="d">
        <v>2025-11-01</v>
      </c>
      <c r="C306" t="s">
        <v>740</v>
      </c>
      <c r="D306" t="s">
        <v>746</v>
      </c>
      <c r="E306" t="s">
        <v>758</v>
      </c>
      <c r="F306" t="s">
        <v>748</v>
      </c>
      <c r="H306" t="s">
        <v>759</v>
      </c>
    </row>
    <row r="307" spans="1:8" x14ac:dyDescent="0.3">
      <c r="A307" t="s">
        <v>311</v>
      </c>
      <c r="B307" s="4" t="d">
        <v>2025-11-02</v>
      </c>
      <c r="C307" t="s">
        <v>740</v>
      </c>
      <c r="D307" t="s">
        <v>746</v>
      </c>
      <c r="E307" t="s">
        <v>756</v>
      </c>
      <c r="F307" t="s">
        <v>749</v>
      </c>
      <c r="H307" t="s">
        <v>759</v>
      </c>
    </row>
    <row r="308" spans="1:8" x14ac:dyDescent="0.3">
      <c r="A308" t="s">
        <v>312</v>
      </c>
      <c r="B308" s="4" t="d">
        <v>2025-11-03</v>
      </c>
      <c r="C308" t="s">
        <v>741</v>
      </c>
      <c r="D308" t="s">
        <v>746</v>
      </c>
      <c r="E308" t="s">
        <v>755</v>
      </c>
      <c r="F308" t="s">
        <v>751</v>
      </c>
      <c r="G308" s="9">
        <v>13</v>
      </c>
      <c r="H308">
        <v>5</v>
      </c>
    </row>
    <row r="309" spans="1:8" x14ac:dyDescent="0.3">
      <c r="A309" t="s">
        <v>313</v>
      </c>
      <c r="B309" s="4" t="d">
        <v>2025-11-04</v>
      </c>
      <c r="C309" t="s">
        <v>765</v>
      </c>
      <c r="D309" t="s">
        <v>745</v>
      </c>
      <c r="E309" t="s">
        <v>755</v>
      </c>
      <c r="F309" t="s">
        <v>753</v>
      </c>
      <c r="G309" s="9">
        <v>7</v>
      </c>
      <c r="H309">
        <v>4</v>
      </c>
    </row>
    <row r="310" spans="1:8" x14ac:dyDescent="0.3">
      <c r="A310" t="s">
        <v>314</v>
      </c>
      <c r="B310" s="4" t="d">
        <v>2025-11-05</v>
      </c>
      <c r="C310" t="s">
        <v>765</v>
      </c>
      <c r="D310" t="s">
        <v>745</v>
      </c>
      <c r="E310" t="s">
        <v>758</v>
      </c>
      <c r="F310" t="s">
        <v>751</v>
      </c>
      <c r="H310" t="s">
        <v>759</v>
      </c>
    </row>
    <row r="311" spans="1:8" x14ac:dyDescent="0.3">
      <c r="A311" t="s">
        <v>315</v>
      </c>
      <c r="B311" s="4" t="d">
        <v>2025-11-06</v>
      </c>
      <c r="C311" t="s">
        <v>767</v>
      </c>
      <c r="D311" t="s">
        <v>746</v>
      </c>
      <c r="E311" t="s">
        <v>758</v>
      </c>
      <c r="F311" t="s">
        <v>749</v>
      </c>
      <c r="H311" t="s">
        <v>759</v>
      </c>
    </row>
    <row r="312" spans="1:8" x14ac:dyDescent="0.3">
      <c r="A312" t="s">
        <v>316</v>
      </c>
      <c r="B312" s="4" t="d">
        <v>2025-11-07</v>
      </c>
      <c r="C312" t="s">
        <v>740</v>
      </c>
      <c r="D312" t="s">
        <v>746</v>
      </c>
      <c r="E312" t="s">
        <v>757</v>
      </c>
      <c r="F312" t="s">
        <v>750</v>
      </c>
      <c r="H312" t="s">
        <v>759</v>
      </c>
    </row>
    <row r="313" spans="1:8" x14ac:dyDescent="0.3">
      <c r="A313" t="s">
        <v>317</v>
      </c>
      <c r="B313" s="4" t="d">
        <v>2025-11-08</v>
      </c>
      <c r="C313" t="s">
        <v>765</v>
      </c>
      <c r="D313" t="s">
        <v>745</v>
      </c>
      <c r="E313" t="s">
        <v>756</v>
      </c>
      <c r="F313" t="s">
        <v>750</v>
      </c>
      <c r="H313" t="s">
        <v>759</v>
      </c>
    </row>
    <row r="314" spans="1:8" x14ac:dyDescent="0.3">
      <c r="A314" t="s">
        <v>318</v>
      </c>
      <c r="B314" s="4" t="d">
        <v>2025-11-09</v>
      </c>
      <c r="C314" t="s">
        <v>767</v>
      </c>
      <c r="D314" t="s">
        <v>746</v>
      </c>
      <c r="E314" t="s">
        <v>758</v>
      </c>
      <c r="F314" t="s">
        <v>753</v>
      </c>
      <c r="H314" t="s">
        <v>759</v>
      </c>
    </row>
    <row r="315" spans="1:8" x14ac:dyDescent="0.3">
      <c r="A315" t="s">
        <v>319</v>
      </c>
      <c r="B315" s="4" t="d">
        <v>2025-11-10</v>
      </c>
      <c r="C315" t="s">
        <v>765</v>
      </c>
      <c r="D315" t="s">
        <v>745</v>
      </c>
      <c r="E315" t="s">
        <v>756</v>
      </c>
      <c r="F315" t="s">
        <v>748</v>
      </c>
      <c r="H315" t="s">
        <v>759</v>
      </c>
    </row>
    <row r="316" spans="1:8" x14ac:dyDescent="0.3">
      <c r="A316" t="s">
        <v>320</v>
      </c>
      <c r="B316" s="4" t="d">
        <v>2025-11-11</v>
      </c>
      <c r="C316" t="s">
        <v>766</v>
      </c>
      <c r="D316" t="s">
        <v>745</v>
      </c>
      <c r="E316" t="s">
        <v>756</v>
      </c>
      <c r="F316" t="s">
        <v>751</v>
      </c>
      <c r="H316" t="s">
        <v>759</v>
      </c>
    </row>
    <row r="317" spans="1:8" x14ac:dyDescent="0.3">
      <c r="A317" t="s">
        <v>321</v>
      </c>
      <c r="B317" s="4" t="d">
        <v>2025-11-12</v>
      </c>
      <c r="C317" t="s">
        <v>740</v>
      </c>
      <c r="D317" t="s">
        <v>746</v>
      </c>
      <c r="E317" t="s">
        <v>758</v>
      </c>
      <c r="F317" t="s">
        <v>752</v>
      </c>
      <c r="H317" t="s">
        <v>759</v>
      </c>
    </row>
    <row r="318" spans="1:8" x14ac:dyDescent="0.3">
      <c r="A318" t="s">
        <v>322</v>
      </c>
      <c r="B318" s="4" t="d">
        <v>2025-11-13</v>
      </c>
      <c r="C318" t="s">
        <v>766</v>
      </c>
      <c r="D318" t="s">
        <v>746</v>
      </c>
      <c r="E318" t="s">
        <v>758</v>
      </c>
      <c r="F318" t="s">
        <v>747</v>
      </c>
      <c r="H318" t="s">
        <v>759</v>
      </c>
    </row>
    <row r="319" spans="1:8" x14ac:dyDescent="0.3">
      <c r="A319" t="s">
        <v>323</v>
      </c>
      <c r="B319" s="4" t="d">
        <v>2025-11-14</v>
      </c>
      <c r="C319" t="s">
        <v>767</v>
      </c>
      <c r="D319" t="s">
        <v>746</v>
      </c>
      <c r="E319" t="s">
        <v>758</v>
      </c>
      <c r="F319" t="s">
        <v>754</v>
      </c>
      <c r="H319" t="s">
        <v>759</v>
      </c>
    </row>
    <row r="320" spans="1:8" x14ac:dyDescent="0.3">
      <c r="A320" t="s">
        <v>324</v>
      </c>
      <c r="B320" s="4" t="d">
        <v>2025-11-15</v>
      </c>
      <c r="C320" t="s">
        <v>766</v>
      </c>
      <c r="D320" t="s">
        <v>746</v>
      </c>
      <c r="E320" t="s">
        <v>755</v>
      </c>
      <c r="F320" t="s">
        <v>751</v>
      </c>
      <c r="G320" s="9">
        <v>14</v>
      </c>
      <c r="H320">
        <v>4</v>
      </c>
    </row>
    <row r="321" spans="1:8" x14ac:dyDescent="0.3">
      <c r="A321" t="s">
        <v>325</v>
      </c>
      <c r="B321" s="4" t="d">
        <v>2025-11-16</v>
      </c>
      <c r="C321" t="s">
        <v>765</v>
      </c>
      <c r="D321" t="s">
        <v>745</v>
      </c>
      <c r="E321" t="s">
        <v>755</v>
      </c>
      <c r="F321" t="s">
        <v>753</v>
      </c>
      <c r="G321" s="9">
        <v>3</v>
      </c>
      <c r="H321">
        <v>3</v>
      </c>
    </row>
    <row r="322" spans="1:8" x14ac:dyDescent="0.3">
      <c r="A322" t="s">
        <v>326</v>
      </c>
      <c r="B322" s="4" t="d">
        <v>2025-11-17</v>
      </c>
      <c r="C322" t="s">
        <v>766</v>
      </c>
      <c r="D322" t="s">
        <v>745</v>
      </c>
      <c r="E322" t="s">
        <v>757</v>
      </c>
      <c r="F322" t="s">
        <v>750</v>
      </c>
      <c r="H322" t="s">
        <v>759</v>
      </c>
    </row>
    <row r="323" spans="1:8" x14ac:dyDescent="0.3">
      <c r="A323" t="s">
        <v>327</v>
      </c>
      <c r="B323" s="4" t="d">
        <v>2025-11-18</v>
      </c>
      <c r="C323" t="s">
        <v>740</v>
      </c>
      <c r="D323" t="s">
        <v>746</v>
      </c>
      <c r="E323" t="s">
        <v>757</v>
      </c>
      <c r="F323" t="s">
        <v>750</v>
      </c>
      <c r="H323" t="s">
        <v>759</v>
      </c>
    </row>
    <row r="324" spans="1:8" x14ac:dyDescent="0.3">
      <c r="A324" t="s">
        <v>328</v>
      </c>
      <c r="B324" s="4" t="d">
        <v>2025-11-19</v>
      </c>
      <c r="C324" t="s">
        <v>767</v>
      </c>
      <c r="D324" t="s">
        <v>746</v>
      </c>
      <c r="E324" t="s">
        <v>756</v>
      </c>
      <c r="F324" t="s">
        <v>749</v>
      </c>
      <c r="H324" t="s">
        <v>759</v>
      </c>
    </row>
    <row r="325" spans="1:8" x14ac:dyDescent="0.3">
      <c r="A325" t="s">
        <v>329</v>
      </c>
      <c r="B325" s="4" t="d">
        <v>2025-11-20</v>
      </c>
      <c r="C325" t="s">
        <v>740</v>
      </c>
      <c r="D325" t="s">
        <v>746</v>
      </c>
      <c r="E325" t="s">
        <v>756</v>
      </c>
      <c r="F325" t="s">
        <v>751</v>
      </c>
      <c r="H325" t="s">
        <v>759</v>
      </c>
    </row>
    <row r="326" spans="1:8" x14ac:dyDescent="0.3">
      <c r="A326" t="s">
        <v>330</v>
      </c>
      <c r="B326" s="4" t="d">
        <v>2025-11-21</v>
      </c>
      <c r="C326" t="s">
        <v>740</v>
      </c>
      <c r="D326" t="s">
        <v>746</v>
      </c>
      <c r="E326" t="s">
        <v>755</v>
      </c>
      <c r="F326" t="s">
        <v>749</v>
      </c>
      <c r="G326" s="9">
        <v>5</v>
      </c>
      <c r="H326">
        <v>3</v>
      </c>
    </row>
    <row r="327" spans="1:8" x14ac:dyDescent="0.3">
      <c r="A327" t="s">
        <v>331</v>
      </c>
      <c r="B327" s="4" t="d">
        <v>2025-11-22</v>
      </c>
      <c r="C327" t="s">
        <v>740</v>
      </c>
      <c r="D327" t="s">
        <v>746</v>
      </c>
      <c r="E327" t="s">
        <v>756</v>
      </c>
      <c r="F327" t="s">
        <v>749</v>
      </c>
      <c r="H327" t="s">
        <v>759</v>
      </c>
    </row>
    <row r="328" spans="1:8" x14ac:dyDescent="0.3">
      <c r="A328" t="s">
        <v>332</v>
      </c>
      <c r="B328" s="4" t="d">
        <v>2025-11-23</v>
      </c>
      <c r="C328" t="s">
        <v>765</v>
      </c>
      <c r="D328" t="s">
        <v>745</v>
      </c>
      <c r="E328" t="s">
        <v>756</v>
      </c>
      <c r="F328" t="s">
        <v>752</v>
      </c>
      <c r="H328" t="s">
        <v>759</v>
      </c>
    </row>
    <row r="329" spans="1:8" x14ac:dyDescent="0.3">
      <c r="A329" t="s">
        <v>333</v>
      </c>
      <c r="B329" s="4" t="d">
        <v>2025-11-24</v>
      </c>
      <c r="C329" t="s">
        <v>740</v>
      </c>
      <c r="D329" t="s">
        <v>746</v>
      </c>
      <c r="E329" t="s">
        <v>755</v>
      </c>
      <c r="F329" t="s">
        <v>753</v>
      </c>
      <c r="G329" s="9">
        <v>5</v>
      </c>
      <c r="H329">
        <v>5</v>
      </c>
    </row>
    <row r="330" spans="1:8" x14ac:dyDescent="0.3">
      <c r="A330" t="s">
        <v>334</v>
      </c>
      <c r="B330" s="4" t="d">
        <v>2025-11-25</v>
      </c>
      <c r="C330" t="s">
        <v>767</v>
      </c>
      <c r="D330" t="s">
        <v>746</v>
      </c>
      <c r="E330" t="s">
        <v>757</v>
      </c>
      <c r="F330" t="s">
        <v>749</v>
      </c>
      <c r="H330" t="s">
        <v>759</v>
      </c>
    </row>
    <row r="331" spans="1:8" x14ac:dyDescent="0.3">
      <c r="A331" t="s">
        <v>335</v>
      </c>
      <c r="B331" s="4" t="d">
        <v>2025-11-26</v>
      </c>
      <c r="C331" t="s">
        <v>766</v>
      </c>
      <c r="D331" t="s">
        <v>746</v>
      </c>
      <c r="E331" t="s">
        <v>756</v>
      </c>
      <c r="F331" t="s">
        <v>747</v>
      </c>
      <c r="H331" t="s">
        <v>759</v>
      </c>
    </row>
    <row r="332" spans="1:8" x14ac:dyDescent="0.3">
      <c r="A332" t="s">
        <v>336</v>
      </c>
      <c r="B332" s="4" t="d">
        <v>2025-11-27</v>
      </c>
      <c r="C332" t="s">
        <v>766</v>
      </c>
      <c r="D332" t="s">
        <v>746</v>
      </c>
      <c r="E332" t="s">
        <v>755</v>
      </c>
      <c r="F332" t="s">
        <v>751</v>
      </c>
      <c r="G332" s="9">
        <v>12</v>
      </c>
      <c r="H332">
        <v>5</v>
      </c>
    </row>
    <row r="333" spans="1:8" x14ac:dyDescent="0.3">
      <c r="A333" t="s">
        <v>337</v>
      </c>
      <c r="B333" s="4" t="d">
        <v>2025-11-28</v>
      </c>
      <c r="C333" t="s">
        <v>767</v>
      </c>
      <c r="D333" t="s">
        <v>746</v>
      </c>
      <c r="E333" t="s">
        <v>755</v>
      </c>
      <c r="F333" t="s">
        <v>753</v>
      </c>
      <c r="G333" s="9">
        <v>5</v>
      </c>
      <c r="H333">
        <v>4</v>
      </c>
    </row>
    <row r="334" spans="1:8" x14ac:dyDescent="0.3">
      <c r="A334" t="s">
        <v>338</v>
      </c>
      <c r="B334" s="4" t="d">
        <v>2025-11-29</v>
      </c>
      <c r="C334" t="s">
        <v>767</v>
      </c>
      <c r="D334" t="s">
        <v>746</v>
      </c>
      <c r="E334" t="s">
        <v>758</v>
      </c>
      <c r="F334" t="s">
        <v>751</v>
      </c>
      <c r="H334" t="s">
        <v>759</v>
      </c>
    </row>
    <row r="335" spans="1:8" x14ac:dyDescent="0.3">
      <c r="A335" t="s">
        <v>339</v>
      </c>
      <c r="B335" s="4" t="d">
        <v>2025-11-30</v>
      </c>
      <c r="C335" t="s">
        <v>765</v>
      </c>
      <c r="D335" t="s">
        <v>745</v>
      </c>
      <c r="E335" t="s">
        <v>755</v>
      </c>
      <c r="F335" t="s">
        <v>751</v>
      </c>
      <c r="G335" s="9">
        <v>8</v>
      </c>
      <c r="H335">
        <v>3</v>
      </c>
    </row>
    <row r="336" spans="1:8" x14ac:dyDescent="0.3">
      <c r="A336" t="s">
        <v>340</v>
      </c>
      <c r="B336" s="4" t="d">
        <v>2025-12-01</v>
      </c>
      <c r="C336" t="s">
        <v>765</v>
      </c>
      <c r="D336" t="s">
        <v>745</v>
      </c>
      <c r="E336" t="s">
        <v>755</v>
      </c>
      <c r="F336" t="s">
        <v>751</v>
      </c>
      <c r="G336" s="9">
        <v>4</v>
      </c>
      <c r="H336">
        <v>5</v>
      </c>
    </row>
    <row r="337" spans="1:8" x14ac:dyDescent="0.3">
      <c r="A337" t="s">
        <v>341</v>
      </c>
      <c r="B337" s="4" t="d">
        <v>2025-12-02</v>
      </c>
      <c r="C337" t="s">
        <v>741</v>
      </c>
      <c r="D337" t="s">
        <v>745</v>
      </c>
      <c r="E337" t="s">
        <v>755</v>
      </c>
      <c r="F337" t="s">
        <v>751</v>
      </c>
      <c r="G337" s="9">
        <v>26</v>
      </c>
      <c r="H337">
        <v>5</v>
      </c>
    </row>
    <row r="338" spans="1:8" x14ac:dyDescent="0.3">
      <c r="A338" t="s">
        <v>342</v>
      </c>
      <c r="B338" s="4" t="d">
        <v>2025-12-03</v>
      </c>
      <c r="C338" t="s">
        <v>740</v>
      </c>
      <c r="D338" t="s">
        <v>746</v>
      </c>
      <c r="E338" t="s">
        <v>755</v>
      </c>
      <c r="F338" t="s">
        <v>749</v>
      </c>
      <c r="G338" s="9">
        <v>5</v>
      </c>
      <c r="H338">
        <v>3</v>
      </c>
    </row>
    <row r="339" spans="1:8" x14ac:dyDescent="0.3">
      <c r="A339" t="s">
        <v>343</v>
      </c>
      <c r="B339" s="4" t="d">
        <v>2025-12-04</v>
      </c>
      <c r="C339" t="s">
        <v>740</v>
      </c>
      <c r="D339" t="s">
        <v>746</v>
      </c>
      <c r="E339" t="s">
        <v>758</v>
      </c>
      <c r="F339" t="s">
        <v>751</v>
      </c>
      <c r="H339" t="s">
        <v>759</v>
      </c>
    </row>
    <row r="340" spans="1:8" x14ac:dyDescent="0.3">
      <c r="A340" t="s">
        <v>344</v>
      </c>
      <c r="B340" s="4" t="d">
        <v>2025-12-05</v>
      </c>
      <c r="C340" t="s">
        <v>741</v>
      </c>
      <c r="D340" t="s">
        <v>745</v>
      </c>
      <c r="E340" t="s">
        <v>755</v>
      </c>
      <c r="F340" t="s">
        <v>749</v>
      </c>
      <c r="G340" s="9">
        <v>45</v>
      </c>
      <c r="H340">
        <v>3</v>
      </c>
    </row>
    <row r="341" spans="1:8" x14ac:dyDescent="0.3">
      <c r="A341" t="s">
        <v>345</v>
      </c>
      <c r="B341" s="4" t="d">
        <v>2025-12-06</v>
      </c>
      <c r="C341" t="s">
        <v>765</v>
      </c>
      <c r="D341" t="s">
        <v>745</v>
      </c>
      <c r="E341" t="s">
        <v>755</v>
      </c>
      <c r="F341" t="s">
        <v>749</v>
      </c>
      <c r="G341" s="9">
        <v>2</v>
      </c>
      <c r="H341">
        <v>5</v>
      </c>
    </row>
    <row r="342" spans="1:8" x14ac:dyDescent="0.3">
      <c r="A342" t="s">
        <v>346</v>
      </c>
      <c r="B342" s="4" t="d">
        <v>2025-12-07</v>
      </c>
      <c r="C342" t="s">
        <v>741</v>
      </c>
      <c r="D342" t="s">
        <v>746</v>
      </c>
      <c r="E342" t="s">
        <v>756</v>
      </c>
      <c r="F342" t="s">
        <v>748</v>
      </c>
      <c r="H342" t="s">
        <v>759</v>
      </c>
    </row>
    <row r="343" spans="1:8" x14ac:dyDescent="0.3">
      <c r="A343" t="s">
        <v>347</v>
      </c>
      <c r="B343" s="4" t="d">
        <v>2025-12-08</v>
      </c>
      <c r="C343" t="s">
        <v>767</v>
      </c>
      <c r="D343" t="s">
        <v>746</v>
      </c>
      <c r="E343" t="s">
        <v>756</v>
      </c>
      <c r="F343" t="s">
        <v>748</v>
      </c>
      <c r="H343" t="s">
        <v>759</v>
      </c>
    </row>
    <row r="344" spans="1:8" x14ac:dyDescent="0.3">
      <c r="A344" t="s">
        <v>348</v>
      </c>
      <c r="B344" s="4" t="d">
        <v>2025-12-09</v>
      </c>
      <c r="C344" t="s">
        <v>765</v>
      </c>
      <c r="D344" t="s">
        <v>745</v>
      </c>
      <c r="E344" t="s">
        <v>757</v>
      </c>
      <c r="F344" t="s">
        <v>750</v>
      </c>
      <c r="H344" t="s">
        <v>759</v>
      </c>
    </row>
    <row r="345" spans="1:8" x14ac:dyDescent="0.3">
      <c r="A345" t="s">
        <v>349</v>
      </c>
      <c r="B345" s="4" t="d">
        <v>2025-12-10</v>
      </c>
      <c r="C345" t="s">
        <v>741</v>
      </c>
      <c r="D345" t="s">
        <v>746</v>
      </c>
      <c r="E345" t="s">
        <v>755</v>
      </c>
      <c r="F345" t="s">
        <v>750</v>
      </c>
      <c r="G345" s="9">
        <v>40</v>
      </c>
      <c r="H345">
        <v>5</v>
      </c>
    </row>
    <row r="346" spans="1:8" x14ac:dyDescent="0.3">
      <c r="A346" t="s">
        <v>350</v>
      </c>
      <c r="B346" s="4" t="d">
        <v>2025-12-11</v>
      </c>
      <c r="C346" t="s">
        <v>741</v>
      </c>
      <c r="D346" t="s">
        <v>746</v>
      </c>
      <c r="E346" t="s">
        <v>755</v>
      </c>
      <c r="F346" t="s">
        <v>751</v>
      </c>
      <c r="G346" s="9">
        <v>35</v>
      </c>
      <c r="H346">
        <v>5</v>
      </c>
    </row>
    <row r="347" spans="1:8" x14ac:dyDescent="0.3">
      <c r="A347" t="s">
        <v>351</v>
      </c>
      <c r="B347" s="4" t="d">
        <v>2025-12-12</v>
      </c>
      <c r="C347" t="s">
        <v>765</v>
      </c>
      <c r="D347" t="s">
        <v>745</v>
      </c>
      <c r="E347" t="s">
        <v>758</v>
      </c>
      <c r="F347" t="s">
        <v>748</v>
      </c>
      <c r="H347" t="s">
        <v>759</v>
      </c>
    </row>
    <row r="348" spans="1:8" x14ac:dyDescent="0.3">
      <c r="A348" t="s">
        <v>352</v>
      </c>
      <c r="B348" s="4" t="d">
        <v>2025-12-13</v>
      </c>
      <c r="C348" t="s">
        <v>767</v>
      </c>
      <c r="D348" t="s">
        <v>746</v>
      </c>
      <c r="E348" t="s">
        <v>755</v>
      </c>
      <c r="F348" t="s">
        <v>753</v>
      </c>
      <c r="G348" s="9">
        <v>9</v>
      </c>
      <c r="H348">
        <v>5</v>
      </c>
    </row>
    <row r="349" spans="1:8" x14ac:dyDescent="0.3">
      <c r="A349" t="s">
        <v>353</v>
      </c>
      <c r="B349" s="4" t="d">
        <v>2025-12-14</v>
      </c>
      <c r="C349" t="s">
        <v>766</v>
      </c>
      <c r="D349" t="s">
        <v>746</v>
      </c>
      <c r="E349" t="s">
        <v>757</v>
      </c>
      <c r="F349" t="s">
        <v>751</v>
      </c>
      <c r="H349" t="s">
        <v>759</v>
      </c>
    </row>
    <row r="350" spans="1:8" x14ac:dyDescent="0.3">
      <c r="A350" t="s">
        <v>354</v>
      </c>
      <c r="B350" s="4" t="d">
        <v>2025-12-15</v>
      </c>
      <c r="C350" t="s">
        <v>767</v>
      </c>
      <c r="D350" t="s">
        <v>746</v>
      </c>
      <c r="E350" t="s">
        <v>756</v>
      </c>
      <c r="F350" t="s">
        <v>749</v>
      </c>
      <c r="H350" t="s">
        <v>759</v>
      </c>
    </row>
    <row r="351" spans="1:8" x14ac:dyDescent="0.3">
      <c r="A351" t="s">
        <v>355</v>
      </c>
      <c r="B351" s="4" t="d">
        <v>2025-12-16</v>
      </c>
      <c r="C351" t="s">
        <v>766</v>
      </c>
      <c r="D351" t="s">
        <v>746</v>
      </c>
      <c r="E351" t="s">
        <v>756</v>
      </c>
      <c r="F351" t="s">
        <v>751</v>
      </c>
      <c r="H351" t="s">
        <v>759</v>
      </c>
    </row>
    <row r="352" spans="1:8" x14ac:dyDescent="0.3">
      <c r="A352" t="s">
        <v>356</v>
      </c>
      <c r="B352" s="4" t="d">
        <v>2025-12-17</v>
      </c>
      <c r="C352" t="s">
        <v>767</v>
      </c>
      <c r="D352" t="s">
        <v>746</v>
      </c>
      <c r="E352" t="s">
        <v>757</v>
      </c>
      <c r="F352" t="s">
        <v>753</v>
      </c>
      <c r="H352" t="s">
        <v>759</v>
      </c>
    </row>
    <row r="353" spans="1:8" x14ac:dyDescent="0.3">
      <c r="A353" t="s">
        <v>357</v>
      </c>
      <c r="B353" s="4" t="d">
        <v>2025-12-18</v>
      </c>
      <c r="C353" t="s">
        <v>740</v>
      </c>
      <c r="D353" t="s">
        <v>746</v>
      </c>
      <c r="E353" t="s">
        <v>756</v>
      </c>
      <c r="F353" t="s">
        <v>747</v>
      </c>
      <c r="H353" t="s">
        <v>759</v>
      </c>
    </row>
    <row r="354" spans="1:8" x14ac:dyDescent="0.3">
      <c r="A354" t="s">
        <v>358</v>
      </c>
      <c r="B354" s="4" t="d">
        <v>2025-12-19</v>
      </c>
      <c r="C354" t="s">
        <v>740</v>
      </c>
      <c r="D354" t="s">
        <v>746</v>
      </c>
      <c r="E354" t="s">
        <v>755</v>
      </c>
      <c r="F354" t="s">
        <v>751</v>
      </c>
      <c r="G354" s="9">
        <v>4</v>
      </c>
      <c r="H354">
        <v>5</v>
      </c>
    </row>
    <row r="355" spans="1:8" x14ac:dyDescent="0.3">
      <c r="A355" t="s">
        <v>359</v>
      </c>
      <c r="B355" s="4" t="d">
        <v>2025-12-20</v>
      </c>
      <c r="C355" t="s">
        <v>767</v>
      </c>
      <c r="D355" t="s">
        <v>746</v>
      </c>
      <c r="E355" t="s">
        <v>756</v>
      </c>
      <c r="F355" t="s">
        <v>750</v>
      </c>
      <c r="H355" t="s">
        <v>759</v>
      </c>
    </row>
    <row r="356" spans="1:8" x14ac:dyDescent="0.3">
      <c r="A356" t="s">
        <v>360</v>
      </c>
      <c r="B356" s="4" t="d">
        <v>2025-12-21</v>
      </c>
      <c r="C356" t="s">
        <v>765</v>
      </c>
      <c r="D356" t="s">
        <v>745</v>
      </c>
      <c r="E356" t="s">
        <v>756</v>
      </c>
      <c r="F356" t="s">
        <v>751</v>
      </c>
      <c r="H356" t="s">
        <v>759</v>
      </c>
    </row>
    <row r="357" spans="1:8" x14ac:dyDescent="0.3">
      <c r="A357" t="s">
        <v>361</v>
      </c>
      <c r="B357" s="4" t="d">
        <v>2025-12-22</v>
      </c>
      <c r="C357" t="s">
        <v>741</v>
      </c>
      <c r="D357" t="s">
        <v>745</v>
      </c>
      <c r="E357" t="s">
        <v>755</v>
      </c>
      <c r="F357" t="s">
        <v>751</v>
      </c>
      <c r="G357" s="9">
        <v>25</v>
      </c>
      <c r="H357">
        <v>4</v>
      </c>
    </row>
    <row r="358" spans="1:8" x14ac:dyDescent="0.3">
      <c r="A358" t="s">
        <v>362</v>
      </c>
      <c r="B358" s="4" t="d">
        <v>2025-12-23</v>
      </c>
      <c r="C358" t="s">
        <v>766</v>
      </c>
      <c r="D358" t="s">
        <v>746</v>
      </c>
      <c r="E358" t="s">
        <v>756</v>
      </c>
      <c r="F358" t="s">
        <v>749</v>
      </c>
      <c r="H358" t="s">
        <v>759</v>
      </c>
    </row>
    <row r="359" spans="1:8" x14ac:dyDescent="0.3">
      <c r="A359" t="s">
        <v>363</v>
      </c>
      <c r="B359" s="4" t="d">
        <v>2025-12-24</v>
      </c>
      <c r="C359" t="s">
        <v>765</v>
      </c>
      <c r="D359" t="s">
        <v>745</v>
      </c>
      <c r="E359" t="s">
        <v>755</v>
      </c>
      <c r="F359" t="s">
        <v>748</v>
      </c>
      <c r="G359" s="9">
        <v>7</v>
      </c>
      <c r="H359">
        <v>4</v>
      </c>
    </row>
    <row r="360" spans="1:8" x14ac:dyDescent="0.3">
      <c r="A360" t="s">
        <v>364</v>
      </c>
      <c r="B360" s="4" t="d">
        <v>2025-12-25</v>
      </c>
      <c r="C360" t="s">
        <v>767</v>
      </c>
      <c r="D360" t="s">
        <v>746</v>
      </c>
      <c r="E360" t="s">
        <v>755</v>
      </c>
      <c r="F360" t="s">
        <v>749</v>
      </c>
      <c r="G360" s="9">
        <v>5</v>
      </c>
      <c r="H360">
        <v>4</v>
      </c>
    </row>
    <row r="361" spans="1:8" x14ac:dyDescent="0.3">
      <c r="A361" t="s">
        <v>365</v>
      </c>
      <c r="B361" s="4" t="d">
        <v>2025-12-26</v>
      </c>
      <c r="C361" t="s">
        <v>766</v>
      </c>
      <c r="D361" t="s">
        <v>746</v>
      </c>
      <c r="E361" t="s">
        <v>758</v>
      </c>
      <c r="F361" t="s">
        <v>750</v>
      </c>
      <c r="H361" t="s">
        <v>759</v>
      </c>
    </row>
    <row r="362" spans="1:8" x14ac:dyDescent="0.3">
      <c r="A362" t="s">
        <v>366</v>
      </c>
      <c r="B362" s="4" t="d">
        <v>2025-12-27</v>
      </c>
      <c r="C362" t="s">
        <v>740</v>
      </c>
      <c r="D362" t="s">
        <v>746</v>
      </c>
      <c r="E362" t="s">
        <v>756</v>
      </c>
      <c r="F362" t="s">
        <v>748</v>
      </c>
      <c r="H362" t="s">
        <v>759</v>
      </c>
    </row>
    <row r="363" spans="1:8" x14ac:dyDescent="0.3">
      <c r="A363" t="s">
        <v>367</v>
      </c>
      <c r="B363" s="4" t="d">
        <v>2025-12-28</v>
      </c>
      <c r="C363" t="s">
        <v>741</v>
      </c>
      <c r="D363" t="s">
        <v>746</v>
      </c>
      <c r="E363" t="s">
        <v>757</v>
      </c>
      <c r="F363" t="s">
        <v>748</v>
      </c>
      <c r="H363" t="s">
        <v>759</v>
      </c>
    </row>
    <row r="364" spans="1:8" x14ac:dyDescent="0.3">
      <c r="A364" t="s">
        <v>368</v>
      </c>
      <c r="B364" s="4" t="d">
        <v>2025-12-29</v>
      </c>
      <c r="C364" t="s">
        <v>741</v>
      </c>
      <c r="D364" t="s">
        <v>746</v>
      </c>
      <c r="E364" t="s">
        <v>755</v>
      </c>
      <c r="F364" t="s">
        <v>751</v>
      </c>
      <c r="G364" s="9">
        <v>41</v>
      </c>
      <c r="H364">
        <v>5</v>
      </c>
    </row>
    <row r="365" spans="1:8" x14ac:dyDescent="0.3">
      <c r="A365" t="s">
        <v>369</v>
      </c>
      <c r="B365" s="4" t="d">
        <v>2025-12-30</v>
      </c>
      <c r="C365" t="s">
        <v>765</v>
      </c>
      <c r="D365" t="s">
        <v>745</v>
      </c>
      <c r="E365" t="s">
        <v>755</v>
      </c>
      <c r="F365" t="s">
        <v>747</v>
      </c>
      <c r="G365" s="9">
        <v>5</v>
      </c>
      <c r="H365">
        <v>4</v>
      </c>
    </row>
    <row r="366" spans="1:8" x14ac:dyDescent="0.3">
      <c r="A366" t="s">
        <v>370</v>
      </c>
      <c r="B366" s="4" t="d">
        <v>2025-12-31</v>
      </c>
      <c r="C366" t="s">
        <v>765</v>
      </c>
      <c r="D366" t="s">
        <v>745</v>
      </c>
      <c r="E366" t="s">
        <v>756</v>
      </c>
      <c r="F366" t="s">
        <v>753</v>
      </c>
      <c r="H366" t="s">
        <v>759</v>
      </c>
    </row>
    <row r="367" spans="1:8" x14ac:dyDescent="0.3">
      <c r="A367" t="s">
        <v>371</v>
      </c>
      <c r="B367" s="4" t="d">
        <v>2026-01-01</v>
      </c>
      <c r="C367" t="s">
        <v>741</v>
      </c>
      <c r="D367" t="s">
        <v>746</v>
      </c>
      <c r="E367" t="s">
        <v>756</v>
      </c>
      <c r="F367" t="s">
        <v>752</v>
      </c>
      <c r="H367" t="s">
        <v>759</v>
      </c>
    </row>
    <row r="368" spans="1:8" x14ac:dyDescent="0.3">
      <c r="A368" t="s">
        <v>372</v>
      </c>
      <c r="B368" s="4" t="d">
        <v>2026-01-02</v>
      </c>
      <c r="C368" t="s">
        <v>765</v>
      </c>
      <c r="D368" t="s">
        <v>745</v>
      </c>
      <c r="E368" t="s">
        <v>755</v>
      </c>
      <c r="F368" t="s">
        <v>752</v>
      </c>
      <c r="G368" s="9">
        <v>3</v>
      </c>
      <c r="H368">
        <v>5</v>
      </c>
    </row>
    <row r="369" spans="1:8" x14ac:dyDescent="0.3">
      <c r="A369" t="s">
        <v>373</v>
      </c>
      <c r="B369" s="4" t="d">
        <v>2026-01-03</v>
      </c>
      <c r="C369" t="s">
        <v>766</v>
      </c>
      <c r="D369" t="s">
        <v>745</v>
      </c>
      <c r="E369" t="s">
        <v>756</v>
      </c>
      <c r="F369" t="s">
        <v>751</v>
      </c>
      <c r="H369" t="s">
        <v>759</v>
      </c>
    </row>
    <row r="370" spans="1:8" x14ac:dyDescent="0.3">
      <c r="A370" t="s">
        <v>374</v>
      </c>
      <c r="B370" s="4" t="d">
        <v>2026-01-04</v>
      </c>
      <c r="C370" t="s">
        <v>741</v>
      </c>
      <c r="D370" t="s">
        <v>745</v>
      </c>
      <c r="E370" t="s">
        <v>758</v>
      </c>
      <c r="F370" t="s">
        <v>753</v>
      </c>
      <c r="H370" t="s">
        <v>759</v>
      </c>
    </row>
    <row r="371" spans="1:8" x14ac:dyDescent="0.3">
      <c r="A371" t="s">
        <v>375</v>
      </c>
      <c r="B371" s="4" t="d">
        <v>2026-01-05</v>
      </c>
      <c r="C371" t="s">
        <v>767</v>
      </c>
      <c r="D371" t="s">
        <v>746</v>
      </c>
      <c r="E371" t="s">
        <v>755</v>
      </c>
      <c r="F371" t="s">
        <v>749</v>
      </c>
      <c r="G371" s="9">
        <v>11</v>
      </c>
      <c r="H371">
        <v>3</v>
      </c>
    </row>
    <row r="372" spans="1:8" x14ac:dyDescent="0.3">
      <c r="A372" t="s">
        <v>376</v>
      </c>
      <c r="B372" s="4" t="d">
        <v>2026-01-06</v>
      </c>
      <c r="C372" t="s">
        <v>765</v>
      </c>
      <c r="D372" t="s">
        <v>745</v>
      </c>
      <c r="E372" t="s">
        <v>755</v>
      </c>
      <c r="F372" t="s">
        <v>752</v>
      </c>
      <c r="G372" s="9">
        <v>2</v>
      </c>
      <c r="H372">
        <v>4</v>
      </c>
    </row>
    <row r="373" spans="1:8" x14ac:dyDescent="0.3">
      <c r="A373" t="s">
        <v>377</v>
      </c>
      <c r="B373" s="4" t="d">
        <v>2026-01-07</v>
      </c>
      <c r="C373" t="s">
        <v>741</v>
      </c>
      <c r="D373" t="s">
        <v>745</v>
      </c>
      <c r="E373" t="s">
        <v>757</v>
      </c>
      <c r="F373" t="s">
        <v>753</v>
      </c>
      <c r="H373" t="s">
        <v>759</v>
      </c>
    </row>
    <row r="374" spans="1:8" x14ac:dyDescent="0.3">
      <c r="A374" t="s">
        <v>378</v>
      </c>
      <c r="B374" s="4" t="d">
        <v>2026-01-08</v>
      </c>
      <c r="C374" t="s">
        <v>741</v>
      </c>
      <c r="D374" t="s">
        <v>745</v>
      </c>
      <c r="E374" t="s">
        <v>756</v>
      </c>
      <c r="F374" t="s">
        <v>752</v>
      </c>
      <c r="H374" t="s">
        <v>759</v>
      </c>
    </row>
    <row r="375" spans="1:8" x14ac:dyDescent="0.3">
      <c r="A375" t="s">
        <v>379</v>
      </c>
      <c r="B375" s="4" t="d">
        <v>2026-01-09</v>
      </c>
      <c r="C375" t="s">
        <v>767</v>
      </c>
      <c r="D375" t="s">
        <v>746</v>
      </c>
      <c r="E375" t="s">
        <v>755</v>
      </c>
      <c r="F375" t="s">
        <v>753</v>
      </c>
      <c r="G375" s="9">
        <v>12</v>
      </c>
      <c r="H375">
        <v>5</v>
      </c>
    </row>
    <row r="376" spans="1:8" x14ac:dyDescent="0.3">
      <c r="A376" t="s">
        <v>380</v>
      </c>
      <c r="B376" s="4" t="d">
        <v>2026-01-10</v>
      </c>
      <c r="C376" t="s">
        <v>766</v>
      </c>
      <c r="D376" t="s">
        <v>746</v>
      </c>
      <c r="E376" t="s">
        <v>758</v>
      </c>
      <c r="F376" t="s">
        <v>751</v>
      </c>
      <c r="H376" t="s">
        <v>759</v>
      </c>
    </row>
    <row r="377" spans="1:8" x14ac:dyDescent="0.3">
      <c r="A377" t="s">
        <v>381</v>
      </c>
      <c r="B377" s="4" t="d">
        <v>2026-01-11</v>
      </c>
      <c r="C377" t="s">
        <v>766</v>
      </c>
      <c r="D377" t="s">
        <v>746</v>
      </c>
      <c r="E377" t="s">
        <v>756</v>
      </c>
      <c r="F377" t="s">
        <v>750</v>
      </c>
      <c r="H377" t="s">
        <v>759</v>
      </c>
    </row>
    <row r="378" spans="1:8" x14ac:dyDescent="0.3">
      <c r="A378" t="s">
        <v>382</v>
      </c>
      <c r="B378" s="4" t="d">
        <v>2026-01-12</v>
      </c>
      <c r="C378" t="s">
        <v>740</v>
      </c>
      <c r="D378" t="s">
        <v>746</v>
      </c>
      <c r="E378" t="s">
        <v>756</v>
      </c>
      <c r="F378" t="s">
        <v>754</v>
      </c>
      <c r="H378" t="s">
        <v>759</v>
      </c>
    </row>
    <row r="379" spans="1:8" x14ac:dyDescent="0.3">
      <c r="A379" t="s">
        <v>383</v>
      </c>
      <c r="B379" s="4" t="d">
        <v>2026-01-13</v>
      </c>
      <c r="C379" t="s">
        <v>767</v>
      </c>
      <c r="D379" t="s">
        <v>746</v>
      </c>
      <c r="E379" t="s">
        <v>758</v>
      </c>
      <c r="F379" t="s">
        <v>749</v>
      </c>
      <c r="H379" t="s">
        <v>759</v>
      </c>
    </row>
    <row r="380" spans="1:8" x14ac:dyDescent="0.3">
      <c r="A380" t="s">
        <v>384</v>
      </c>
      <c r="B380" s="4" t="d">
        <v>2026-01-14</v>
      </c>
      <c r="C380" t="s">
        <v>740</v>
      </c>
      <c r="D380" t="s">
        <v>746</v>
      </c>
      <c r="E380" t="s">
        <v>756</v>
      </c>
      <c r="F380" t="s">
        <v>752</v>
      </c>
      <c r="H380" t="s">
        <v>759</v>
      </c>
    </row>
    <row r="381" spans="1:8" x14ac:dyDescent="0.3">
      <c r="A381" t="s">
        <v>385</v>
      </c>
      <c r="B381" s="4" t="d">
        <v>2026-01-15</v>
      </c>
      <c r="C381" t="s">
        <v>740</v>
      </c>
      <c r="D381" t="s">
        <v>746</v>
      </c>
      <c r="E381" t="s">
        <v>757</v>
      </c>
      <c r="F381" t="s">
        <v>750</v>
      </c>
      <c r="H381" t="s">
        <v>759</v>
      </c>
    </row>
    <row r="382" spans="1:8" x14ac:dyDescent="0.3">
      <c r="A382" t="s">
        <v>386</v>
      </c>
      <c r="B382" s="4" t="d">
        <v>2026-01-16</v>
      </c>
      <c r="C382" t="s">
        <v>741</v>
      </c>
      <c r="D382" t="s">
        <v>746</v>
      </c>
      <c r="E382" t="s">
        <v>755</v>
      </c>
      <c r="F382" t="s">
        <v>750</v>
      </c>
      <c r="G382" s="9">
        <v>42</v>
      </c>
      <c r="H382">
        <v>4</v>
      </c>
    </row>
    <row r="383" spans="1:8" x14ac:dyDescent="0.3">
      <c r="A383" t="s">
        <v>387</v>
      </c>
      <c r="B383" s="4" t="d">
        <v>2026-01-17</v>
      </c>
      <c r="C383" t="s">
        <v>740</v>
      </c>
      <c r="D383" t="s">
        <v>746</v>
      </c>
      <c r="E383" t="s">
        <v>756</v>
      </c>
      <c r="F383" t="s">
        <v>752</v>
      </c>
      <c r="H383" t="s">
        <v>759</v>
      </c>
    </row>
    <row r="384" spans="1:8" x14ac:dyDescent="0.3">
      <c r="A384" t="s">
        <v>388</v>
      </c>
      <c r="B384" s="4" t="d">
        <v>2026-01-18</v>
      </c>
      <c r="C384" t="s">
        <v>740</v>
      </c>
      <c r="D384" t="s">
        <v>746</v>
      </c>
      <c r="E384" t="s">
        <v>756</v>
      </c>
      <c r="F384" t="s">
        <v>747</v>
      </c>
      <c r="H384" t="s">
        <v>759</v>
      </c>
    </row>
    <row r="385" spans="1:8" x14ac:dyDescent="0.3">
      <c r="A385" t="s">
        <v>389</v>
      </c>
      <c r="B385" s="4" t="d">
        <v>2026-01-19</v>
      </c>
      <c r="C385" t="s">
        <v>767</v>
      </c>
      <c r="D385" t="s">
        <v>746</v>
      </c>
      <c r="E385" t="s">
        <v>755</v>
      </c>
      <c r="F385" t="s">
        <v>747</v>
      </c>
      <c r="G385" s="9">
        <v>7</v>
      </c>
      <c r="H385">
        <v>4</v>
      </c>
    </row>
    <row r="386" spans="1:8" x14ac:dyDescent="0.3">
      <c r="A386" t="s">
        <v>390</v>
      </c>
      <c r="B386" s="4" t="d">
        <v>2026-01-20</v>
      </c>
      <c r="C386" t="s">
        <v>766</v>
      </c>
      <c r="D386" t="s">
        <v>746</v>
      </c>
      <c r="E386" t="s">
        <v>755</v>
      </c>
      <c r="F386" t="s">
        <v>748</v>
      </c>
      <c r="G386" s="9">
        <v>44</v>
      </c>
      <c r="H386">
        <v>5</v>
      </c>
    </row>
    <row r="387" spans="1:8" x14ac:dyDescent="0.3">
      <c r="A387" t="s">
        <v>391</v>
      </c>
      <c r="B387" s="4" t="d">
        <v>2026-01-21</v>
      </c>
      <c r="C387" t="s">
        <v>740</v>
      </c>
      <c r="D387" t="s">
        <v>746</v>
      </c>
      <c r="E387" t="s">
        <v>757</v>
      </c>
      <c r="F387" t="s">
        <v>749</v>
      </c>
      <c r="H387" t="s">
        <v>759</v>
      </c>
    </row>
    <row r="388" spans="1:8" x14ac:dyDescent="0.3">
      <c r="A388" t="s">
        <v>392</v>
      </c>
      <c r="B388" s="4" t="d">
        <v>2026-01-22</v>
      </c>
      <c r="C388" t="s">
        <v>740</v>
      </c>
      <c r="D388" t="s">
        <v>746</v>
      </c>
      <c r="E388" t="s">
        <v>758</v>
      </c>
      <c r="F388" t="s">
        <v>753</v>
      </c>
      <c r="H388" t="s">
        <v>759</v>
      </c>
    </row>
    <row r="389" spans="1:8" x14ac:dyDescent="0.3">
      <c r="A389" t="s">
        <v>393</v>
      </c>
      <c r="B389" s="4" t="d">
        <v>2026-01-23</v>
      </c>
      <c r="C389" t="s">
        <v>740</v>
      </c>
      <c r="D389" t="s">
        <v>746</v>
      </c>
      <c r="E389" t="s">
        <v>756</v>
      </c>
      <c r="F389" t="s">
        <v>749</v>
      </c>
      <c r="H389" t="s">
        <v>759</v>
      </c>
    </row>
    <row r="390" spans="1:8" x14ac:dyDescent="0.3">
      <c r="A390" t="s">
        <v>394</v>
      </c>
      <c r="B390" s="4" t="d">
        <v>2026-01-24</v>
      </c>
      <c r="C390" t="s">
        <v>767</v>
      </c>
      <c r="D390" t="s">
        <v>746</v>
      </c>
      <c r="E390" t="s">
        <v>757</v>
      </c>
      <c r="F390" t="s">
        <v>751</v>
      </c>
      <c r="H390" t="s">
        <v>759</v>
      </c>
    </row>
    <row r="391" spans="1:8" x14ac:dyDescent="0.3">
      <c r="A391" t="s">
        <v>395</v>
      </c>
      <c r="B391" s="4" t="d">
        <v>2026-01-25</v>
      </c>
      <c r="C391" t="s">
        <v>767</v>
      </c>
      <c r="D391" t="s">
        <v>746</v>
      </c>
      <c r="E391" t="s">
        <v>755</v>
      </c>
      <c r="F391" t="s">
        <v>749</v>
      </c>
      <c r="G391" s="9">
        <v>14</v>
      </c>
      <c r="H391">
        <v>4</v>
      </c>
    </row>
    <row r="392" spans="1:8" x14ac:dyDescent="0.3">
      <c r="A392" t="s">
        <v>396</v>
      </c>
      <c r="B392" s="4" t="d">
        <v>2026-01-26</v>
      </c>
      <c r="C392" t="s">
        <v>767</v>
      </c>
      <c r="D392" t="s">
        <v>746</v>
      </c>
      <c r="E392" t="s">
        <v>757</v>
      </c>
      <c r="F392" t="s">
        <v>753</v>
      </c>
      <c r="H392" t="s">
        <v>759</v>
      </c>
    </row>
    <row r="393" spans="1:8" x14ac:dyDescent="0.3">
      <c r="A393" t="s">
        <v>397</v>
      </c>
      <c r="B393" s="4" t="d">
        <v>2026-01-27</v>
      </c>
      <c r="C393" t="s">
        <v>766</v>
      </c>
      <c r="D393" t="s">
        <v>746</v>
      </c>
      <c r="E393" t="s">
        <v>755</v>
      </c>
      <c r="F393" t="s">
        <v>751</v>
      </c>
      <c r="G393" s="9">
        <v>15</v>
      </c>
      <c r="H393">
        <v>4</v>
      </c>
    </row>
    <row r="394" spans="1:8" x14ac:dyDescent="0.3">
      <c r="A394" t="s">
        <v>398</v>
      </c>
      <c r="B394" s="4" t="d">
        <v>2026-01-28</v>
      </c>
      <c r="C394" t="s">
        <v>766</v>
      </c>
      <c r="D394" t="s">
        <v>745</v>
      </c>
      <c r="E394" t="s">
        <v>758</v>
      </c>
      <c r="F394" t="s">
        <v>747</v>
      </c>
      <c r="H394" t="s">
        <v>759</v>
      </c>
    </row>
    <row r="395" spans="1:8" x14ac:dyDescent="0.3">
      <c r="A395" t="s">
        <v>399</v>
      </c>
      <c r="B395" s="4" t="d">
        <v>2026-01-29</v>
      </c>
      <c r="C395" t="s">
        <v>767</v>
      </c>
      <c r="D395" t="s">
        <v>746</v>
      </c>
      <c r="E395" t="s">
        <v>755</v>
      </c>
      <c r="F395" t="s">
        <v>750</v>
      </c>
      <c r="G395" s="9">
        <v>15</v>
      </c>
      <c r="H395">
        <v>3</v>
      </c>
    </row>
    <row r="396" spans="1:8" x14ac:dyDescent="0.3">
      <c r="A396" t="s">
        <v>400</v>
      </c>
      <c r="B396" s="4" t="d">
        <v>2026-01-30</v>
      </c>
      <c r="C396" t="s">
        <v>765</v>
      </c>
      <c r="D396" t="s">
        <v>745</v>
      </c>
      <c r="E396" t="s">
        <v>755</v>
      </c>
      <c r="F396" t="s">
        <v>747</v>
      </c>
      <c r="G396" s="9">
        <v>5</v>
      </c>
      <c r="H396">
        <v>5</v>
      </c>
    </row>
    <row r="397" spans="1:8" x14ac:dyDescent="0.3">
      <c r="A397" t="s">
        <v>401</v>
      </c>
      <c r="B397" s="4" t="d">
        <v>2026-01-31</v>
      </c>
      <c r="C397" t="s">
        <v>740</v>
      </c>
      <c r="D397" t="s">
        <v>746</v>
      </c>
      <c r="E397" t="s">
        <v>758</v>
      </c>
      <c r="F397" t="s">
        <v>753</v>
      </c>
      <c r="H397" t="s">
        <v>759</v>
      </c>
    </row>
    <row r="398" spans="1:8" x14ac:dyDescent="0.3">
      <c r="A398" t="s">
        <v>402</v>
      </c>
      <c r="B398" s="4" t="d">
        <v>2026-02-01</v>
      </c>
      <c r="C398" t="s">
        <v>741</v>
      </c>
      <c r="D398" t="s">
        <v>745</v>
      </c>
      <c r="E398" t="s">
        <v>756</v>
      </c>
      <c r="F398" t="s">
        <v>753</v>
      </c>
      <c r="H398" t="s">
        <v>759</v>
      </c>
    </row>
    <row r="399" spans="1:8" x14ac:dyDescent="0.3">
      <c r="A399" t="s">
        <v>403</v>
      </c>
      <c r="B399" s="4" t="d">
        <v>2026-02-02</v>
      </c>
      <c r="C399" t="s">
        <v>740</v>
      </c>
      <c r="D399" t="s">
        <v>746</v>
      </c>
      <c r="E399" t="s">
        <v>755</v>
      </c>
      <c r="F399" t="s">
        <v>753</v>
      </c>
      <c r="G399" s="9">
        <v>4</v>
      </c>
      <c r="H399">
        <v>5</v>
      </c>
    </row>
    <row r="400" spans="1:8" x14ac:dyDescent="0.3">
      <c r="A400" t="s">
        <v>404</v>
      </c>
      <c r="B400" s="4" t="d">
        <v>2026-02-03</v>
      </c>
      <c r="C400" t="s">
        <v>740</v>
      </c>
      <c r="D400" t="s">
        <v>746</v>
      </c>
      <c r="E400" t="s">
        <v>755</v>
      </c>
      <c r="F400" t="s">
        <v>754</v>
      </c>
      <c r="G400" s="9">
        <v>8</v>
      </c>
      <c r="H400">
        <v>4</v>
      </c>
    </row>
    <row r="401" spans="1:8" x14ac:dyDescent="0.3">
      <c r="A401" t="s">
        <v>405</v>
      </c>
      <c r="B401" s="4" t="d">
        <v>2026-02-04</v>
      </c>
      <c r="C401" t="s">
        <v>766</v>
      </c>
      <c r="D401" t="s">
        <v>746</v>
      </c>
      <c r="E401" t="s">
        <v>755</v>
      </c>
      <c r="F401" t="s">
        <v>752</v>
      </c>
      <c r="G401" s="9">
        <v>27</v>
      </c>
      <c r="H401">
        <v>3</v>
      </c>
    </row>
    <row r="402" spans="1:8" x14ac:dyDescent="0.3">
      <c r="A402" t="s">
        <v>406</v>
      </c>
      <c r="B402" s="4" t="d">
        <v>2026-02-05</v>
      </c>
      <c r="C402" t="s">
        <v>767</v>
      </c>
      <c r="D402" t="s">
        <v>746</v>
      </c>
      <c r="E402" t="s">
        <v>758</v>
      </c>
      <c r="F402" t="s">
        <v>751</v>
      </c>
      <c r="H402" t="s">
        <v>759</v>
      </c>
    </row>
    <row r="403" spans="1:8" x14ac:dyDescent="0.3">
      <c r="A403" t="s">
        <v>407</v>
      </c>
      <c r="B403" s="4" t="d">
        <v>2026-02-06</v>
      </c>
      <c r="C403" t="s">
        <v>741</v>
      </c>
      <c r="D403" t="s">
        <v>746</v>
      </c>
      <c r="E403" t="s">
        <v>756</v>
      </c>
      <c r="F403" t="s">
        <v>747</v>
      </c>
      <c r="H403" t="s">
        <v>759</v>
      </c>
    </row>
    <row r="404" spans="1:8" x14ac:dyDescent="0.3">
      <c r="A404" t="s">
        <v>408</v>
      </c>
      <c r="B404" s="4" t="d">
        <v>2026-02-07</v>
      </c>
      <c r="C404" t="s">
        <v>765</v>
      </c>
      <c r="D404" t="s">
        <v>745</v>
      </c>
      <c r="E404" t="s">
        <v>756</v>
      </c>
      <c r="F404" t="s">
        <v>750</v>
      </c>
      <c r="H404" t="s">
        <v>759</v>
      </c>
    </row>
    <row r="405" spans="1:8" x14ac:dyDescent="0.3">
      <c r="A405" t="s">
        <v>409</v>
      </c>
      <c r="B405" s="4" t="d">
        <v>2026-02-08</v>
      </c>
      <c r="C405" t="s">
        <v>741</v>
      </c>
      <c r="D405" t="s">
        <v>746</v>
      </c>
      <c r="E405" t="s">
        <v>757</v>
      </c>
      <c r="F405" t="s">
        <v>747</v>
      </c>
      <c r="H405" t="s">
        <v>759</v>
      </c>
    </row>
    <row r="406" spans="1:8" x14ac:dyDescent="0.3">
      <c r="A406" t="s">
        <v>410</v>
      </c>
      <c r="B406" s="4" t="d">
        <v>2026-02-09</v>
      </c>
      <c r="C406" t="s">
        <v>766</v>
      </c>
      <c r="D406" t="s">
        <v>746</v>
      </c>
      <c r="E406" t="s">
        <v>758</v>
      </c>
      <c r="F406" t="s">
        <v>753</v>
      </c>
      <c r="H406" t="s">
        <v>759</v>
      </c>
    </row>
    <row r="407" spans="1:8" x14ac:dyDescent="0.3">
      <c r="A407" t="s">
        <v>411</v>
      </c>
      <c r="B407" s="4" t="d">
        <v>2026-02-10</v>
      </c>
      <c r="C407" t="s">
        <v>740</v>
      </c>
      <c r="D407" t="s">
        <v>746</v>
      </c>
      <c r="E407" t="s">
        <v>755</v>
      </c>
      <c r="F407" t="s">
        <v>748</v>
      </c>
      <c r="G407" s="9">
        <v>8</v>
      </c>
      <c r="H407">
        <v>5</v>
      </c>
    </row>
    <row r="408" spans="1:8" x14ac:dyDescent="0.3">
      <c r="A408" t="s">
        <v>412</v>
      </c>
      <c r="B408" s="4" t="d">
        <v>2026-02-11</v>
      </c>
      <c r="C408" t="s">
        <v>740</v>
      </c>
      <c r="D408" t="s">
        <v>746</v>
      </c>
      <c r="E408" t="s">
        <v>757</v>
      </c>
      <c r="F408" t="s">
        <v>752</v>
      </c>
      <c r="H408" t="s">
        <v>759</v>
      </c>
    </row>
    <row r="409" spans="1:8" x14ac:dyDescent="0.3">
      <c r="A409" t="s">
        <v>413</v>
      </c>
      <c r="B409" s="4" t="d">
        <v>2026-02-12</v>
      </c>
      <c r="C409" t="s">
        <v>740</v>
      </c>
      <c r="D409" t="s">
        <v>746</v>
      </c>
      <c r="E409" t="s">
        <v>755</v>
      </c>
      <c r="F409" t="s">
        <v>747</v>
      </c>
      <c r="G409" s="9">
        <v>5</v>
      </c>
      <c r="H409">
        <v>4</v>
      </c>
    </row>
    <row r="410" spans="1:8" x14ac:dyDescent="0.3">
      <c r="A410" t="s">
        <v>414</v>
      </c>
      <c r="B410" s="4" t="d">
        <v>2026-02-13</v>
      </c>
      <c r="C410" t="s">
        <v>766</v>
      </c>
      <c r="D410" t="s">
        <v>746</v>
      </c>
      <c r="E410" t="s">
        <v>758</v>
      </c>
      <c r="F410" t="s">
        <v>751</v>
      </c>
      <c r="H410" t="s">
        <v>759</v>
      </c>
    </row>
    <row r="411" spans="1:8" x14ac:dyDescent="0.3">
      <c r="A411" t="s">
        <v>415</v>
      </c>
      <c r="B411" s="4" t="d">
        <v>2026-02-14</v>
      </c>
      <c r="C411" t="s">
        <v>765</v>
      </c>
      <c r="D411" t="s">
        <v>745</v>
      </c>
      <c r="E411" t="s">
        <v>755</v>
      </c>
      <c r="F411" t="s">
        <v>754</v>
      </c>
      <c r="G411" s="9">
        <v>4</v>
      </c>
      <c r="H411">
        <v>4</v>
      </c>
    </row>
    <row r="412" spans="1:8" x14ac:dyDescent="0.3">
      <c r="A412" t="s">
        <v>416</v>
      </c>
      <c r="B412" s="4" t="d">
        <v>2026-02-15</v>
      </c>
      <c r="C412" t="s">
        <v>767</v>
      </c>
      <c r="D412" t="s">
        <v>746</v>
      </c>
      <c r="E412" t="s">
        <v>758</v>
      </c>
      <c r="F412" t="s">
        <v>749</v>
      </c>
      <c r="H412" t="s">
        <v>759</v>
      </c>
    </row>
    <row r="413" spans="1:8" x14ac:dyDescent="0.3">
      <c r="A413" t="s">
        <v>417</v>
      </c>
      <c r="B413" s="4" t="d">
        <v>2026-02-16</v>
      </c>
      <c r="C413" t="s">
        <v>741</v>
      </c>
      <c r="D413" t="s">
        <v>746</v>
      </c>
      <c r="E413" t="s">
        <v>756</v>
      </c>
      <c r="F413" t="s">
        <v>748</v>
      </c>
      <c r="H413" t="s">
        <v>759</v>
      </c>
    </row>
    <row r="414" spans="1:8" x14ac:dyDescent="0.3">
      <c r="A414" t="s">
        <v>418</v>
      </c>
      <c r="B414" s="4" t="d">
        <v>2026-02-17</v>
      </c>
      <c r="C414" t="s">
        <v>767</v>
      </c>
      <c r="D414" t="s">
        <v>746</v>
      </c>
      <c r="E414" t="s">
        <v>755</v>
      </c>
      <c r="F414" t="s">
        <v>754</v>
      </c>
      <c r="G414" s="9">
        <v>10</v>
      </c>
      <c r="H414">
        <v>5</v>
      </c>
    </row>
    <row r="415" spans="1:8" x14ac:dyDescent="0.3">
      <c r="A415" t="s">
        <v>419</v>
      </c>
      <c r="B415" s="4" t="d">
        <v>2026-02-18</v>
      </c>
      <c r="C415" t="s">
        <v>740</v>
      </c>
      <c r="D415" t="s">
        <v>746</v>
      </c>
      <c r="E415" t="s">
        <v>755</v>
      </c>
      <c r="F415" t="s">
        <v>754</v>
      </c>
      <c r="G415" s="9">
        <v>6</v>
      </c>
      <c r="H415">
        <v>5</v>
      </c>
    </row>
    <row r="416" spans="1:8" x14ac:dyDescent="0.3">
      <c r="A416" t="s">
        <v>420</v>
      </c>
      <c r="B416" s="4" t="d">
        <v>2026-02-19</v>
      </c>
      <c r="C416" t="s">
        <v>765</v>
      </c>
      <c r="D416" t="s">
        <v>745</v>
      </c>
      <c r="E416" t="s">
        <v>756</v>
      </c>
      <c r="F416" t="s">
        <v>752</v>
      </c>
      <c r="H416" t="s">
        <v>759</v>
      </c>
    </row>
    <row r="417" spans="1:8" x14ac:dyDescent="0.3">
      <c r="A417" t="s">
        <v>421</v>
      </c>
      <c r="B417" s="4" t="d">
        <v>2026-02-20</v>
      </c>
      <c r="C417" t="s">
        <v>767</v>
      </c>
      <c r="D417" t="s">
        <v>746</v>
      </c>
      <c r="E417" t="s">
        <v>755</v>
      </c>
      <c r="F417" t="s">
        <v>747</v>
      </c>
      <c r="G417" s="9">
        <v>5</v>
      </c>
      <c r="H417">
        <v>4</v>
      </c>
    </row>
    <row r="418" spans="1:8" x14ac:dyDescent="0.3">
      <c r="A418" t="s">
        <v>422</v>
      </c>
      <c r="B418" s="4" t="d">
        <v>2026-02-21</v>
      </c>
      <c r="C418" t="s">
        <v>767</v>
      </c>
      <c r="D418" t="s">
        <v>746</v>
      </c>
      <c r="E418" t="s">
        <v>757</v>
      </c>
      <c r="F418" t="s">
        <v>748</v>
      </c>
      <c r="H418" t="s">
        <v>759</v>
      </c>
    </row>
    <row r="419" spans="1:8" x14ac:dyDescent="0.3">
      <c r="A419" t="s">
        <v>423</v>
      </c>
      <c r="B419" s="4" t="d">
        <v>2026-02-22</v>
      </c>
      <c r="C419" t="s">
        <v>765</v>
      </c>
      <c r="D419" t="s">
        <v>745</v>
      </c>
      <c r="E419" t="s">
        <v>757</v>
      </c>
      <c r="F419" t="s">
        <v>750</v>
      </c>
      <c r="H419" t="s">
        <v>759</v>
      </c>
    </row>
    <row r="420" spans="1:8" x14ac:dyDescent="0.3">
      <c r="A420" t="s">
        <v>424</v>
      </c>
      <c r="B420" s="4" t="d">
        <v>2026-02-23</v>
      </c>
      <c r="C420" t="s">
        <v>765</v>
      </c>
      <c r="D420" t="s">
        <v>745</v>
      </c>
      <c r="E420" t="s">
        <v>758</v>
      </c>
      <c r="F420" t="s">
        <v>749</v>
      </c>
      <c r="H420" t="s">
        <v>759</v>
      </c>
    </row>
    <row r="421" spans="1:8" x14ac:dyDescent="0.3">
      <c r="A421" t="s">
        <v>425</v>
      </c>
      <c r="B421" s="4" t="d">
        <v>2026-02-24</v>
      </c>
      <c r="C421" t="s">
        <v>766</v>
      </c>
      <c r="D421" t="s">
        <v>745</v>
      </c>
      <c r="E421" t="s">
        <v>758</v>
      </c>
      <c r="F421" t="s">
        <v>749</v>
      </c>
      <c r="H421" t="s">
        <v>759</v>
      </c>
    </row>
    <row r="422" spans="1:8" x14ac:dyDescent="0.3">
      <c r="A422" t="s">
        <v>426</v>
      </c>
      <c r="B422" s="4" t="d">
        <v>2026-02-25</v>
      </c>
      <c r="C422" t="s">
        <v>765</v>
      </c>
      <c r="D422" t="s">
        <v>745</v>
      </c>
      <c r="E422" t="s">
        <v>755</v>
      </c>
      <c r="F422" t="s">
        <v>749</v>
      </c>
      <c r="G422" s="9">
        <v>3</v>
      </c>
      <c r="H422">
        <v>3</v>
      </c>
    </row>
    <row r="423" spans="1:8" x14ac:dyDescent="0.3">
      <c r="A423" t="s">
        <v>427</v>
      </c>
      <c r="B423" s="4" t="d">
        <v>2026-02-26</v>
      </c>
      <c r="C423" t="s">
        <v>740</v>
      </c>
      <c r="D423" t="s">
        <v>746</v>
      </c>
      <c r="E423" t="s">
        <v>756</v>
      </c>
      <c r="F423" t="s">
        <v>748</v>
      </c>
      <c r="H423" t="s">
        <v>759</v>
      </c>
    </row>
    <row r="424" spans="1:8" x14ac:dyDescent="0.3">
      <c r="A424" t="s">
        <v>428</v>
      </c>
      <c r="B424" s="4" t="d">
        <v>2026-02-27</v>
      </c>
      <c r="C424" t="s">
        <v>767</v>
      </c>
      <c r="D424" t="s">
        <v>746</v>
      </c>
      <c r="E424" t="s">
        <v>758</v>
      </c>
      <c r="F424" t="s">
        <v>754</v>
      </c>
      <c r="H424" t="s">
        <v>759</v>
      </c>
    </row>
    <row r="425" spans="1:8" x14ac:dyDescent="0.3">
      <c r="A425" t="s">
        <v>429</v>
      </c>
      <c r="B425" s="4" t="d">
        <v>2026-02-28</v>
      </c>
      <c r="C425" t="s">
        <v>741</v>
      </c>
      <c r="D425" t="s">
        <v>746</v>
      </c>
      <c r="E425" t="s">
        <v>755</v>
      </c>
      <c r="F425" t="s">
        <v>753</v>
      </c>
      <c r="G425" s="9">
        <v>29</v>
      </c>
      <c r="H425">
        <v>4</v>
      </c>
    </row>
    <row r="426" spans="1:8" x14ac:dyDescent="0.3">
      <c r="A426" t="s">
        <v>430</v>
      </c>
      <c r="B426" s="4" t="d">
        <v>2026-03-01</v>
      </c>
      <c r="C426" t="s">
        <v>741</v>
      </c>
      <c r="D426" t="s">
        <v>746</v>
      </c>
      <c r="E426" t="s">
        <v>756</v>
      </c>
      <c r="F426" t="s">
        <v>753</v>
      </c>
      <c r="H426" t="s">
        <v>759</v>
      </c>
    </row>
    <row r="427" spans="1:8" x14ac:dyDescent="0.3">
      <c r="A427" t="s">
        <v>431</v>
      </c>
      <c r="B427" s="4" t="d">
        <v>2026-03-02</v>
      </c>
      <c r="C427" t="s">
        <v>765</v>
      </c>
      <c r="D427" t="s">
        <v>745</v>
      </c>
      <c r="E427" t="s">
        <v>757</v>
      </c>
      <c r="F427" t="s">
        <v>751</v>
      </c>
      <c r="H427" t="s">
        <v>759</v>
      </c>
    </row>
    <row r="428" spans="1:8" x14ac:dyDescent="0.3">
      <c r="A428" t="s">
        <v>432</v>
      </c>
      <c r="B428" s="4" t="d">
        <v>2026-03-03</v>
      </c>
      <c r="C428" t="s">
        <v>740</v>
      </c>
      <c r="D428" t="s">
        <v>746</v>
      </c>
      <c r="E428" t="s">
        <v>758</v>
      </c>
      <c r="F428" t="s">
        <v>751</v>
      </c>
      <c r="H428" t="s">
        <v>759</v>
      </c>
    </row>
    <row r="429" spans="1:8" x14ac:dyDescent="0.3">
      <c r="A429" t="s">
        <v>433</v>
      </c>
      <c r="B429" s="4" t="d">
        <v>2026-03-04</v>
      </c>
      <c r="C429" t="s">
        <v>741</v>
      </c>
      <c r="D429" t="s">
        <v>746</v>
      </c>
      <c r="E429" t="s">
        <v>756</v>
      </c>
      <c r="F429" t="s">
        <v>752</v>
      </c>
      <c r="H429" t="s">
        <v>759</v>
      </c>
    </row>
    <row r="430" spans="1:8" x14ac:dyDescent="0.3">
      <c r="A430" t="s">
        <v>434</v>
      </c>
      <c r="B430" s="4" t="d">
        <v>2026-03-05</v>
      </c>
      <c r="C430" t="s">
        <v>740</v>
      </c>
      <c r="D430" t="s">
        <v>746</v>
      </c>
      <c r="E430" t="s">
        <v>755</v>
      </c>
      <c r="F430" t="s">
        <v>751</v>
      </c>
      <c r="G430" s="9">
        <v>8</v>
      </c>
      <c r="H430">
        <v>4</v>
      </c>
    </row>
    <row r="431" spans="1:8" x14ac:dyDescent="0.3">
      <c r="A431" t="s">
        <v>435</v>
      </c>
      <c r="B431" s="4" t="d">
        <v>2026-03-06</v>
      </c>
      <c r="C431" t="s">
        <v>765</v>
      </c>
      <c r="D431" t="s">
        <v>745</v>
      </c>
      <c r="E431" t="s">
        <v>756</v>
      </c>
      <c r="F431" t="s">
        <v>748</v>
      </c>
      <c r="H431" t="s">
        <v>759</v>
      </c>
    </row>
    <row r="432" spans="1:8" x14ac:dyDescent="0.3">
      <c r="A432" t="s">
        <v>436</v>
      </c>
      <c r="B432" s="4" t="d">
        <v>2026-03-07</v>
      </c>
      <c r="C432" t="s">
        <v>767</v>
      </c>
      <c r="D432" t="s">
        <v>746</v>
      </c>
      <c r="E432" t="s">
        <v>755</v>
      </c>
      <c r="F432" t="s">
        <v>750</v>
      </c>
      <c r="G432" s="9">
        <v>13</v>
      </c>
      <c r="H432">
        <v>4</v>
      </c>
    </row>
    <row r="433" spans="1:8" x14ac:dyDescent="0.3">
      <c r="A433" t="s">
        <v>437</v>
      </c>
      <c r="B433" s="4" t="d">
        <v>2026-03-08</v>
      </c>
      <c r="C433" t="s">
        <v>740</v>
      </c>
      <c r="D433" t="s">
        <v>746</v>
      </c>
      <c r="E433" t="s">
        <v>755</v>
      </c>
      <c r="F433" t="s">
        <v>747</v>
      </c>
      <c r="G433" s="9">
        <v>8</v>
      </c>
      <c r="H433">
        <v>4</v>
      </c>
    </row>
    <row r="434" spans="1:8" x14ac:dyDescent="0.3">
      <c r="A434" t="s">
        <v>438</v>
      </c>
      <c r="B434" s="4" t="d">
        <v>2026-03-09</v>
      </c>
      <c r="C434" t="s">
        <v>766</v>
      </c>
      <c r="D434" t="s">
        <v>745</v>
      </c>
      <c r="E434" t="s">
        <v>755</v>
      </c>
      <c r="F434" t="s">
        <v>753</v>
      </c>
      <c r="G434" s="9">
        <v>24</v>
      </c>
      <c r="H434">
        <v>4</v>
      </c>
    </row>
    <row r="435" spans="1:8" x14ac:dyDescent="0.3">
      <c r="A435" t="s">
        <v>439</v>
      </c>
      <c r="B435" s="4" t="d">
        <v>2026-03-10</v>
      </c>
      <c r="C435" t="s">
        <v>767</v>
      </c>
      <c r="D435" t="s">
        <v>746</v>
      </c>
      <c r="E435" t="s">
        <v>757</v>
      </c>
      <c r="F435" t="s">
        <v>752</v>
      </c>
      <c r="H435" t="s">
        <v>759</v>
      </c>
    </row>
    <row r="436" spans="1:8" x14ac:dyDescent="0.3">
      <c r="A436" t="s">
        <v>440</v>
      </c>
      <c r="B436" s="4" t="d">
        <v>2026-03-11</v>
      </c>
      <c r="C436" t="s">
        <v>741</v>
      </c>
      <c r="D436" t="s">
        <v>745</v>
      </c>
      <c r="E436" t="s">
        <v>757</v>
      </c>
      <c r="F436" t="s">
        <v>754</v>
      </c>
      <c r="H436" t="s">
        <v>759</v>
      </c>
    </row>
    <row r="437" spans="1:8" x14ac:dyDescent="0.3">
      <c r="A437" t="s">
        <v>441</v>
      </c>
      <c r="B437" s="4" t="d">
        <v>2026-03-12</v>
      </c>
      <c r="C437" t="s">
        <v>740</v>
      </c>
      <c r="D437" t="s">
        <v>746</v>
      </c>
      <c r="E437" t="s">
        <v>757</v>
      </c>
      <c r="F437" t="s">
        <v>748</v>
      </c>
      <c r="H437" t="s">
        <v>759</v>
      </c>
    </row>
    <row r="438" spans="1:8" x14ac:dyDescent="0.3">
      <c r="A438" t="s">
        <v>442</v>
      </c>
      <c r="B438" s="4" t="d">
        <v>2026-03-13</v>
      </c>
      <c r="C438" t="s">
        <v>766</v>
      </c>
      <c r="D438" t="s">
        <v>746</v>
      </c>
      <c r="E438" t="s">
        <v>756</v>
      </c>
      <c r="F438" t="s">
        <v>749</v>
      </c>
      <c r="H438" t="s">
        <v>759</v>
      </c>
    </row>
    <row r="439" spans="1:8" x14ac:dyDescent="0.3">
      <c r="A439" t="s">
        <v>443</v>
      </c>
      <c r="B439" s="4" t="d">
        <v>2026-03-14</v>
      </c>
      <c r="C439" t="s">
        <v>767</v>
      </c>
      <c r="D439" t="s">
        <v>746</v>
      </c>
      <c r="E439" t="s">
        <v>755</v>
      </c>
      <c r="F439" t="s">
        <v>754</v>
      </c>
      <c r="G439" s="9">
        <v>13</v>
      </c>
      <c r="H439">
        <v>3</v>
      </c>
    </row>
    <row r="440" spans="1:8" x14ac:dyDescent="0.3">
      <c r="A440" t="s">
        <v>444</v>
      </c>
      <c r="B440" s="4" t="d">
        <v>2026-03-15</v>
      </c>
      <c r="C440" t="s">
        <v>765</v>
      </c>
      <c r="D440" t="s">
        <v>745</v>
      </c>
      <c r="E440" t="s">
        <v>755</v>
      </c>
      <c r="F440" t="s">
        <v>753</v>
      </c>
      <c r="G440" s="9">
        <v>6</v>
      </c>
      <c r="H440">
        <v>4</v>
      </c>
    </row>
    <row r="441" spans="1:8" x14ac:dyDescent="0.3">
      <c r="A441" t="s">
        <v>445</v>
      </c>
      <c r="B441" s="4" t="d">
        <v>2026-03-16</v>
      </c>
      <c r="C441" t="s">
        <v>767</v>
      </c>
      <c r="D441" t="s">
        <v>746</v>
      </c>
      <c r="E441" t="s">
        <v>755</v>
      </c>
      <c r="F441" t="s">
        <v>748</v>
      </c>
      <c r="G441" s="9">
        <v>5</v>
      </c>
      <c r="H441">
        <v>5</v>
      </c>
    </row>
    <row r="442" spans="1:8" x14ac:dyDescent="0.3">
      <c r="A442" t="s">
        <v>446</v>
      </c>
      <c r="B442" s="4" t="d">
        <v>2026-03-17</v>
      </c>
      <c r="C442" t="s">
        <v>765</v>
      </c>
      <c r="D442" t="s">
        <v>745</v>
      </c>
      <c r="E442" t="s">
        <v>757</v>
      </c>
      <c r="F442" t="s">
        <v>749</v>
      </c>
      <c r="H442" t="s">
        <v>759</v>
      </c>
    </row>
    <row r="443" spans="1:8" x14ac:dyDescent="0.3">
      <c r="A443" t="s">
        <v>447</v>
      </c>
      <c r="B443" s="4" t="d">
        <v>2026-03-18</v>
      </c>
      <c r="C443" t="s">
        <v>740</v>
      </c>
      <c r="D443" t="s">
        <v>746</v>
      </c>
      <c r="E443" t="s">
        <v>756</v>
      </c>
      <c r="F443" t="s">
        <v>749</v>
      </c>
      <c r="H443" t="s">
        <v>759</v>
      </c>
    </row>
    <row r="444" spans="1:8" x14ac:dyDescent="0.3">
      <c r="A444" t="s">
        <v>448</v>
      </c>
      <c r="B444" s="4" t="d">
        <v>2026-03-19</v>
      </c>
      <c r="C444" t="s">
        <v>767</v>
      </c>
      <c r="D444" t="s">
        <v>746</v>
      </c>
      <c r="E444" t="s">
        <v>756</v>
      </c>
      <c r="F444" t="s">
        <v>752</v>
      </c>
      <c r="H444" t="s">
        <v>759</v>
      </c>
    </row>
    <row r="445" spans="1:8" x14ac:dyDescent="0.3">
      <c r="A445" t="s">
        <v>449</v>
      </c>
      <c r="B445" s="4" t="d">
        <v>2026-03-20</v>
      </c>
      <c r="C445" t="s">
        <v>740</v>
      </c>
      <c r="D445" t="s">
        <v>746</v>
      </c>
      <c r="E445" t="s">
        <v>758</v>
      </c>
      <c r="F445" t="s">
        <v>749</v>
      </c>
      <c r="H445" t="s">
        <v>759</v>
      </c>
    </row>
    <row r="446" spans="1:8" x14ac:dyDescent="0.3">
      <c r="A446" t="s">
        <v>450</v>
      </c>
      <c r="B446" s="4" t="d">
        <v>2026-03-21</v>
      </c>
      <c r="C446" t="s">
        <v>765</v>
      </c>
      <c r="D446" t="s">
        <v>745</v>
      </c>
      <c r="E446" t="s">
        <v>755</v>
      </c>
      <c r="F446" t="s">
        <v>748</v>
      </c>
      <c r="G446" s="9">
        <v>3</v>
      </c>
      <c r="H446">
        <v>3</v>
      </c>
    </row>
    <row r="447" spans="1:8" x14ac:dyDescent="0.3">
      <c r="A447" t="s">
        <v>451</v>
      </c>
      <c r="B447" s="4" t="d">
        <v>2026-03-22</v>
      </c>
      <c r="C447" t="s">
        <v>765</v>
      </c>
      <c r="D447" t="s">
        <v>745</v>
      </c>
      <c r="E447" t="s">
        <v>757</v>
      </c>
      <c r="F447" t="s">
        <v>749</v>
      </c>
      <c r="H447" t="s">
        <v>759</v>
      </c>
    </row>
    <row r="448" spans="1:8" x14ac:dyDescent="0.3">
      <c r="A448" t="s">
        <v>452</v>
      </c>
      <c r="B448" s="4" t="d">
        <v>2026-03-23</v>
      </c>
      <c r="C448" t="s">
        <v>740</v>
      </c>
      <c r="D448" t="s">
        <v>746</v>
      </c>
      <c r="E448" t="s">
        <v>756</v>
      </c>
      <c r="F448" t="s">
        <v>749</v>
      </c>
      <c r="H448" t="s">
        <v>759</v>
      </c>
    </row>
    <row r="449" spans="1:8" x14ac:dyDescent="0.3">
      <c r="A449" t="s">
        <v>453</v>
      </c>
      <c r="B449" s="4" t="d">
        <v>2026-03-24</v>
      </c>
      <c r="C449" t="s">
        <v>766</v>
      </c>
      <c r="D449" t="s">
        <v>745</v>
      </c>
      <c r="E449" t="s">
        <v>755</v>
      </c>
      <c r="F449" t="s">
        <v>749</v>
      </c>
      <c r="G449" s="9">
        <v>19</v>
      </c>
      <c r="H449">
        <v>5</v>
      </c>
    </row>
    <row r="450" spans="1:8" x14ac:dyDescent="0.3">
      <c r="A450" t="s">
        <v>454</v>
      </c>
      <c r="B450" s="4" t="d">
        <v>2026-03-25</v>
      </c>
      <c r="C450" t="s">
        <v>767</v>
      </c>
      <c r="D450" t="s">
        <v>746</v>
      </c>
      <c r="E450" t="s">
        <v>756</v>
      </c>
      <c r="F450" t="s">
        <v>754</v>
      </c>
      <c r="H450" t="s">
        <v>759</v>
      </c>
    </row>
    <row r="451" spans="1:8" x14ac:dyDescent="0.3">
      <c r="A451" t="s">
        <v>455</v>
      </c>
      <c r="B451" s="4" t="d">
        <v>2026-03-26</v>
      </c>
      <c r="C451" t="s">
        <v>765</v>
      </c>
      <c r="D451" t="s">
        <v>745</v>
      </c>
      <c r="E451" t="s">
        <v>758</v>
      </c>
      <c r="F451" t="s">
        <v>752</v>
      </c>
      <c r="H451" t="s">
        <v>759</v>
      </c>
    </row>
    <row r="452" spans="1:8" x14ac:dyDescent="0.3">
      <c r="A452" t="s">
        <v>456</v>
      </c>
      <c r="B452" s="4" t="d">
        <v>2026-03-27</v>
      </c>
      <c r="C452" t="s">
        <v>766</v>
      </c>
      <c r="D452" t="s">
        <v>745</v>
      </c>
      <c r="E452" t="s">
        <v>758</v>
      </c>
      <c r="F452" t="s">
        <v>753</v>
      </c>
      <c r="H452" t="s">
        <v>759</v>
      </c>
    </row>
    <row r="453" spans="1:8" x14ac:dyDescent="0.3">
      <c r="A453" t="s">
        <v>457</v>
      </c>
      <c r="B453" s="4" t="d">
        <v>2026-03-28</v>
      </c>
      <c r="C453" t="s">
        <v>766</v>
      </c>
      <c r="D453" t="s">
        <v>745</v>
      </c>
      <c r="E453" t="s">
        <v>755</v>
      </c>
      <c r="F453" t="s">
        <v>752</v>
      </c>
      <c r="G453" s="9">
        <v>14</v>
      </c>
      <c r="H453">
        <v>4</v>
      </c>
    </row>
    <row r="454" spans="1:8" x14ac:dyDescent="0.3">
      <c r="A454" t="s">
        <v>458</v>
      </c>
      <c r="B454" s="4" t="d">
        <v>2026-03-29</v>
      </c>
      <c r="C454" t="s">
        <v>767</v>
      </c>
      <c r="D454" t="s">
        <v>746</v>
      </c>
      <c r="E454" t="s">
        <v>758</v>
      </c>
      <c r="F454" t="s">
        <v>747</v>
      </c>
      <c r="H454" t="s">
        <v>759</v>
      </c>
    </row>
    <row r="455" spans="1:8" x14ac:dyDescent="0.3">
      <c r="A455" t="s">
        <v>459</v>
      </c>
      <c r="B455" s="4" t="d">
        <v>2026-03-30</v>
      </c>
      <c r="C455" t="s">
        <v>740</v>
      </c>
      <c r="D455" t="s">
        <v>746</v>
      </c>
      <c r="E455" t="s">
        <v>756</v>
      </c>
      <c r="F455" t="s">
        <v>747</v>
      </c>
      <c r="H455" t="s">
        <v>759</v>
      </c>
    </row>
    <row r="456" spans="1:8" x14ac:dyDescent="0.3">
      <c r="A456" t="s">
        <v>460</v>
      </c>
      <c r="B456" s="4" t="d">
        <v>2026-03-31</v>
      </c>
      <c r="C456" t="s">
        <v>766</v>
      </c>
      <c r="D456" t="s">
        <v>746</v>
      </c>
      <c r="E456" t="s">
        <v>755</v>
      </c>
      <c r="F456" t="s">
        <v>751</v>
      </c>
      <c r="G456" s="9">
        <v>18</v>
      </c>
      <c r="H456">
        <v>3</v>
      </c>
    </row>
    <row r="457" spans="1:8" x14ac:dyDescent="0.3">
      <c r="A457" t="s">
        <v>461</v>
      </c>
      <c r="B457" s="4" t="d">
        <v>2026-04-01</v>
      </c>
      <c r="C457" t="s">
        <v>767</v>
      </c>
      <c r="D457" t="s">
        <v>746</v>
      </c>
      <c r="E457" t="s">
        <v>755</v>
      </c>
      <c r="F457" t="s">
        <v>754</v>
      </c>
      <c r="G457" s="9">
        <v>15</v>
      </c>
      <c r="H457">
        <v>3</v>
      </c>
    </row>
    <row r="458" spans="1:8" x14ac:dyDescent="0.3">
      <c r="A458" t="s">
        <v>462</v>
      </c>
      <c r="B458" s="4" t="d">
        <v>2026-04-02</v>
      </c>
      <c r="C458" t="s">
        <v>767</v>
      </c>
      <c r="D458" t="s">
        <v>746</v>
      </c>
      <c r="E458" t="s">
        <v>755</v>
      </c>
      <c r="F458" t="s">
        <v>748</v>
      </c>
      <c r="G458" s="9">
        <v>5</v>
      </c>
      <c r="H458">
        <v>4</v>
      </c>
    </row>
    <row r="459" spans="1:8" x14ac:dyDescent="0.3">
      <c r="A459" t="s">
        <v>463</v>
      </c>
      <c r="B459" s="4" t="d">
        <v>2026-04-03</v>
      </c>
      <c r="C459" t="s">
        <v>767</v>
      </c>
      <c r="D459" t="s">
        <v>746</v>
      </c>
      <c r="E459" t="s">
        <v>756</v>
      </c>
      <c r="F459" t="s">
        <v>753</v>
      </c>
      <c r="H459" t="s">
        <v>759</v>
      </c>
    </row>
    <row r="460" spans="1:8" x14ac:dyDescent="0.3">
      <c r="A460" t="s">
        <v>464</v>
      </c>
      <c r="B460" s="4" t="d">
        <v>2026-04-04</v>
      </c>
      <c r="C460" t="s">
        <v>741</v>
      </c>
      <c r="D460" t="s">
        <v>745</v>
      </c>
      <c r="E460" t="s">
        <v>756</v>
      </c>
      <c r="F460" t="s">
        <v>751</v>
      </c>
      <c r="H460" t="s">
        <v>759</v>
      </c>
    </row>
    <row r="461" spans="1:8" x14ac:dyDescent="0.3">
      <c r="A461" t="s">
        <v>465</v>
      </c>
      <c r="B461" s="4" t="d">
        <v>2026-04-05</v>
      </c>
      <c r="C461" t="s">
        <v>767</v>
      </c>
      <c r="D461" t="s">
        <v>746</v>
      </c>
      <c r="E461" t="s">
        <v>757</v>
      </c>
      <c r="F461" t="s">
        <v>748</v>
      </c>
      <c r="H461" t="s">
        <v>759</v>
      </c>
    </row>
    <row r="462" spans="1:8" x14ac:dyDescent="0.3">
      <c r="A462" t="s">
        <v>466</v>
      </c>
      <c r="B462" s="4" t="d">
        <v>2026-04-06</v>
      </c>
      <c r="C462" t="s">
        <v>767</v>
      </c>
      <c r="D462" t="s">
        <v>746</v>
      </c>
      <c r="E462" t="s">
        <v>758</v>
      </c>
      <c r="F462" t="s">
        <v>753</v>
      </c>
      <c r="H462" t="s">
        <v>759</v>
      </c>
    </row>
    <row r="463" spans="1:8" x14ac:dyDescent="0.3">
      <c r="A463" t="s">
        <v>467</v>
      </c>
      <c r="B463" s="4" t="d">
        <v>2026-04-07</v>
      </c>
      <c r="C463" t="s">
        <v>767</v>
      </c>
      <c r="D463" t="s">
        <v>746</v>
      </c>
      <c r="E463" t="s">
        <v>755</v>
      </c>
      <c r="F463" t="s">
        <v>749</v>
      </c>
      <c r="G463" s="9">
        <v>8</v>
      </c>
      <c r="H463">
        <v>3</v>
      </c>
    </row>
    <row r="464" spans="1:8" x14ac:dyDescent="0.3">
      <c r="A464" t="s">
        <v>468</v>
      </c>
      <c r="B464" s="4" t="d">
        <v>2026-04-08</v>
      </c>
      <c r="C464" t="s">
        <v>766</v>
      </c>
      <c r="D464" t="s">
        <v>745</v>
      </c>
      <c r="E464" t="s">
        <v>758</v>
      </c>
      <c r="F464" t="s">
        <v>748</v>
      </c>
      <c r="H464" t="s">
        <v>759</v>
      </c>
    </row>
    <row r="465" spans="1:8" x14ac:dyDescent="0.3">
      <c r="A465" t="s">
        <v>469</v>
      </c>
      <c r="B465" s="4" t="d">
        <v>2026-04-09</v>
      </c>
      <c r="C465" t="s">
        <v>767</v>
      </c>
      <c r="D465" t="s">
        <v>746</v>
      </c>
      <c r="E465" t="s">
        <v>756</v>
      </c>
      <c r="F465" t="s">
        <v>753</v>
      </c>
      <c r="H465" t="s">
        <v>759</v>
      </c>
    </row>
    <row r="466" spans="1:8" x14ac:dyDescent="0.3">
      <c r="A466" t="s">
        <v>470</v>
      </c>
      <c r="B466" s="4" t="d">
        <v>2026-04-10</v>
      </c>
      <c r="C466" t="s">
        <v>740</v>
      </c>
      <c r="D466" t="s">
        <v>746</v>
      </c>
      <c r="E466" t="s">
        <v>757</v>
      </c>
      <c r="F466" t="s">
        <v>747</v>
      </c>
      <c r="H466" t="s">
        <v>759</v>
      </c>
    </row>
    <row r="467" spans="1:8" x14ac:dyDescent="0.3">
      <c r="A467" t="s">
        <v>471</v>
      </c>
      <c r="B467" s="4" t="d">
        <v>2026-04-11</v>
      </c>
      <c r="C467" t="s">
        <v>740</v>
      </c>
      <c r="D467" t="s">
        <v>746</v>
      </c>
      <c r="E467" t="s">
        <v>756</v>
      </c>
      <c r="F467" t="s">
        <v>754</v>
      </c>
      <c r="H467" t="s">
        <v>759</v>
      </c>
    </row>
    <row r="468" spans="1:8" x14ac:dyDescent="0.3">
      <c r="A468" t="s">
        <v>472</v>
      </c>
      <c r="B468" s="4" t="d">
        <v>2026-04-12</v>
      </c>
      <c r="C468" t="s">
        <v>741</v>
      </c>
      <c r="D468" t="s">
        <v>745</v>
      </c>
      <c r="E468" t="s">
        <v>755</v>
      </c>
      <c r="F468" t="s">
        <v>751</v>
      </c>
      <c r="G468" s="9">
        <v>13</v>
      </c>
      <c r="H468">
        <v>4</v>
      </c>
    </row>
    <row r="469" spans="1:8" x14ac:dyDescent="0.3">
      <c r="A469" t="s">
        <v>473</v>
      </c>
      <c r="B469" s="4" t="d">
        <v>2026-04-13</v>
      </c>
      <c r="C469" t="s">
        <v>765</v>
      </c>
      <c r="D469" t="s">
        <v>745</v>
      </c>
      <c r="E469" t="s">
        <v>756</v>
      </c>
      <c r="F469" t="s">
        <v>752</v>
      </c>
      <c r="H469" t="s">
        <v>759</v>
      </c>
    </row>
    <row r="470" spans="1:8" x14ac:dyDescent="0.3">
      <c r="A470" t="s">
        <v>474</v>
      </c>
      <c r="B470" s="4" t="d">
        <v>2026-04-14</v>
      </c>
      <c r="C470" t="s">
        <v>766</v>
      </c>
      <c r="D470" t="s">
        <v>745</v>
      </c>
      <c r="E470" t="s">
        <v>758</v>
      </c>
      <c r="F470" t="s">
        <v>754</v>
      </c>
      <c r="H470" t="s">
        <v>759</v>
      </c>
    </row>
    <row r="471" spans="1:8" x14ac:dyDescent="0.3">
      <c r="A471" t="s">
        <v>475</v>
      </c>
      <c r="B471" s="4" t="d">
        <v>2026-04-15</v>
      </c>
      <c r="C471" t="s">
        <v>766</v>
      </c>
      <c r="D471" t="s">
        <v>746</v>
      </c>
      <c r="E471" t="s">
        <v>755</v>
      </c>
      <c r="F471" t="s">
        <v>747</v>
      </c>
      <c r="G471" s="9">
        <v>45</v>
      </c>
      <c r="H471">
        <v>5</v>
      </c>
    </row>
    <row r="472" spans="1:8" x14ac:dyDescent="0.3">
      <c r="A472" t="s">
        <v>476</v>
      </c>
      <c r="B472" s="4" t="d">
        <v>2026-04-16</v>
      </c>
      <c r="C472" t="s">
        <v>766</v>
      </c>
      <c r="D472" t="s">
        <v>746</v>
      </c>
      <c r="E472" t="s">
        <v>758</v>
      </c>
      <c r="F472" t="s">
        <v>754</v>
      </c>
      <c r="H472" t="s">
        <v>759</v>
      </c>
    </row>
    <row r="473" spans="1:8" x14ac:dyDescent="0.3">
      <c r="A473" t="s">
        <v>477</v>
      </c>
      <c r="B473" s="4" t="d">
        <v>2026-04-17</v>
      </c>
      <c r="C473" t="s">
        <v>765</v>
      </c>
      <c r="D473" t="s">
        <v>745</v>
      </c>
      <c r="E473" t="s">
        <v>755</v>
      </c>
      <c r="F473" t="s">
        <v>752</v>
      </c>
      <c r="G473" s="9">
        <v>5</v>
      </c>
      <c r="H473">
        <v>3</v>
      </c>
    </row>
    <row r="474" spans="1:8" x14ac:dyDescent="0.3">
      <c r="A474" t="s">
        <v>478</v>
      </c>
      <c r="B474" s="4" t="d">
        <v>2026-04-18</v>
      </c>
      <c r="C474" t="s">
        <v>740</v>
      </c>
      <c r="D474" t="s">
        <v>746</v>
      </c>
      <c r="E474" t="s">
        <v>755</v>
      </c>
      <c r="F474" t="s">
        <v>751</v>
      </c>
      <c r="G474" s="9">
        <v>7</v>
      </c>
      <c r="H474">
        <v>3</v>
      </c>
    </row>
    <row r="475" spans="1:8" x14ac:dyDescent="0.3">
      <c r="A475" t="s">
        <v>479</v>
      </c>
      <c r="B475" s="4" t="d">
        <v>2026-04-19</v>
      </c>
      <c r="C475" t="s">
        <v>765</v>
      </c>
      <c r="D475" t="s">
        <v>745</v>
      </c>
      <c r="E475" t="s">
        <v>756</v>
      </c>
      <c r="F475" t="s">
        <v>750</v>
      </c>
      <c r="H475" t="s">
        <v>759</v>
      </c>
    </row>
    <row r="476" spans="1:8" x14ac:dyDescent="0.3">
      <c r="A476" t="s">
        <v>480</v>
      </c>
      <c r="B476" s="4" t="d">
        <v>2026-04-20</v>
      </c>
      <c r="C476" t="s">
        <v>765</v>
      </c>
      <c r="D476" t="s">
        <v>745</v>
      </c>
      <c r="E476" t="s">
        <v>755</v>
      </c>
      <c r="F476" t="s">
        <v>751</v>
      </c>
      <c r="G476" s="9">
        <v>2</v>
      </c>
      <c r="H476">
        <v>3</v>
      </c>
    </row>
    <row r="477" spans="1:8" x14ac:dyDescent="0.3">
      <c r="A477" t="s">
        <v>481</v>
      </c>
      <c r="B477" s="4" t="d">
        <v>2026-04-21</v>
      </c>
      <c r="C477" t="s">
        <v>767</v>
      </c>
      <c r="D477" t="s">
        <v>746</v>
      </c>
      <c r="E477" t="s">
        <v>756</v>
      </c>
      <c r="F477" t="s">
        <v>751</v>
      </c>
      <c r="H477" t="s">
        <v>759</v>
      </c>
    </row>
    <row r="478" spans="1:8" x14ac:dyDescent="0.3">
      <c r="A478" t="s">
        <v>482</v>
      </c>
      <c r="B478" s="4" t="d">
        <v>2026-04-22</v>
      </c>
      <c r="C478" t="s">
        <v>765</v>
      </c>
      <c r="D478" t="s">
        <v>745</v>
      </c>
      <c r="E478" t="s">
        <v>757</v>
      </c>
      <c r="F478" t="s">
        <v>754</v>
      </c>
      <c r="H478" t="s">
        <v>759</v>
      </c>
    </row>
    <row r="479" spans="1:8" x14ac:dyDescent="0.3">
      <c r="A479" t="s">
        <v>483</v>
      </c>
      <c r="B479" s="4" t="d">
        <v>2026-04-23</v>
      </c>
      <c r="C479" t="s">
        <v>767</v>
      </c>
      <c r="D479" t="s">
        <v>746</v>
      </c>
      <c r="E479" t="s">
        <v>758</v>
      </c>
      <c r="F479" t="s">
        <v>749</v>
      </c>
      <c r="H479" t="s">
        <v>759</v>
      </c>
    </row>
    <row r="480" spans="1:8" x14ac:dyDescent="0.3">
      <c r="A480" t="s">
        <v>484</v>
      </c>
      <c r="B480" s="4" t="d">
        <v>2026-04-24</v>
      </c>
      <c r="C480" t="s">
        <v>767</v>
      </c>
      <c r="D480" t="s">
        <v>746</v>
      </c>
      <c r="E480" t="s">
        <v>755</v>
      </c>
      <c r="F480" t="s">
        <v>752</v>
      </c>
      <c r="G480" s="9">
        <v>7</v>
      </c>
      <c r="H480">
        <v>4</v>
      </c>
    </row>
    <row r="481" spans="1:8" x14ac:dyDescent="0.3">
      <c r="A481" t="s">
        <v>485</v>
      </c>
      <c r="B481" s="4" t="d">
        <v>2026-04-25</v>
      </c>
      <c r="C481" t="s">
        <v>740</v>
      </c>
      <c r="D481" t="s">
        <v>746</v>
      </c>
      <c r="E481" t="s">
        <v>755</v>
      </c>
      <c r="F481" t="s">
        <v>750</v>
      </c>
      <c r="G481" s="9">
        <v>8</v>
      </c>
      <c r="H481">
        <v>4</v>
      </c>
    </row>
    <row r="482" spans="1:8" x14ac:dyDescent="0.3">
      <c r="A482" t="s">
        <v>486</v>
      </c>
      <c r="B482" s="4" t="d">
        <v>2026-04-26</v>
      </c>
      <c r="C482" t="s">
        <v>740</v>
      </c>
      <c r="D482" t="s">
        <v>746</v>
      </c>
      <c r="E482" t="s">
        <v>756</v>
      </c>
      <c r="F482" t="s">
        <v>749</v>
      </c>
      <c r="H482" t="s">
        <v>759</v>
      </c>
    </row>
    <row r="483" spans="1:8" x14ac:dyDescent="0.3">
      <c r="A483" t="s">
        <v>487</v>
      </c>
      <c r="B483" s="4" t="d">
        <v>2026-04-27</v>
      </c>
      <c r="C483" t="s">
        <v>741</v>
      </c>
      <c r="D483" t="s">
        <v>746</v>
      </c>
      <c r="E483" t="s">
        <v>755</v>
      </c>
      <c r="F483" t="s">
        <v>754</v>
      </c>
      <c r="G483" s="9">
        <v>38</v>
      </c>
      <c r="H483">
        <v>5</v>
      </c>
    </row>
    <row r="484" spans="1:8" x14ac:dyDescent="0.3">
      <c r="A484" t="s">
        <v>488</v>
      </c>
      <c r="B484" s="4" t="d">
        <v>2026-04-28</v>
      </c>
      <c r="C484" t="s">
        <v>740</v>
      </c>
      <c r="D484" t="s">
        <v>746</v>
      </c>
      <c r="E484" t="s">
        <v>755</v>
      </c>
      <c r="F484" t="s">
        <v>748</v>
      </c>
      <c r="G484" s="9">
        <v>3</v>
      </c>
      <c r="H484">
        <v>3</v>
      </c>
    </row>
    <row r="485" spans="1:8" x14ac:dyDescent="0.3">
      <c r="A485" t="s">
        <v>489</v>
      </c>
      <c r="B485" s="4" t="d">
        <v>2026-04-29</v>
      </c>
      <c r="C485" t="s">
        <v>765</v>
      </c>
      <c r="D485" t="s">
        <v>745</v>
      </c>
      <c r="E485" t="s">
        <v>756</v>
      </c>
      <c r="F485" t="s">
        <v>747</v>
      </c>
      <c r="H485" t="s">
        <v>759</v>
      </c>
    </row>
    <row r="486" spans="1:8" x14ac:dyDescent="0.3">
      <c r="A486" t="s">
        <v>490</v>
      </c>
      <c r="B486" s="4" t="d">
        <v>2026-04-30</v>
      </c>
      <c r="C486" t="s">
        <v>741</v>
      </c>
      <c r="D486" t="s">
        <v>746</v>
      </c>
      <c r="E486" t="s">
        <v>755</v>
      </c>
      <c r="F486" t="s">
        <v>748</v>
      </c>
      <c r="G486" s="9">
        <v>43</v>
      </c>
      <c r="H486">
        <v>5</v>
      </c>
    </row>
    <row r="487" spans="1:8" x14ac:dyDescent="0.3">
      <c r="A487" t="s">
        <v>491</v>
      </c>
      <c r="B487" s="4" t="d">
        <v>2026-05-01</v>
      </c>
      <c r="C487" t="s">
        <v>767</v>
      </c>
      <c r="D487" t="s">
        <v>746</v>
      </c>
      <c r="E487" t="s">
        <v>755</v>
      </c>
      <c r="F487" t="s">
        <v>751</v>
      </c>
      <c r="G487" s="9">
        <v>11</v>
      </c>
      <c r="H487">
        <v>5</v>
      </c>
    </row>
    <row r="488" spans="1:8" x14ac:dyDescent="0.3">
      <c r="A488" t="s">
        <v>492</v>
      </c>
      <c r="B488" s="4" t="d">
        <v>2026-05-02</v>
      </c>
      <c r="C488" t="s">
        <v>740</v>
      </c>
      <c r="D488" t="s">
        <v>746</v>
      </c>
      <c r="E488" t="s">
        <v>755</v>
      </c>
      <c r="F488" t="s">
        <v>753</v>
      </c>
      <c r="G488" s="9">
        <v>6</v>
      </c>
      <c r="H488">
        <v>4</v>
      </c>
    </row>
    <row r="489" spans="1:8" x14ac:dyDescent="0.3">
      <c r="A489" t="s">
        <v>493</v>
      </c>
      <c r="B489" s="4" t="d">
        <v>2026-05-03</v>
      </c>
      <c r="C489" t="s">
        <v>767</v>
      </c>
      <c r="D489" t="s">
        <v>746</v>
      </c>
      <c r="E489" t="s">
        <v>758</v>
      </c>
      <c r="F489" t="s">
        <v>753</v>
      </c>
      <c r="H489" t="s">
        <v>759</v>
      </c>
    </row>
    <row r="490" spans="1:8" x14ac:dyDescent="0.3">
      <c r="A490" t="s">
        <v>494</v>
      </c>
      <c r="B490" s="4" t="d">
        <v>2026-05-04</v>
      </c>
      <c r="C490" t="s">
        <v>765</v>
      </c>
      <c r="D490" t="s">
        <v>745</v>
      </c>
      <c r="E490" t="s">
        <v>758</v>
      </c>
      <c r="F490" t="s">
        <v>748</v>
      </c>
      <c r="H490" t="s">
        <v>759</v>
      </c>
    </row>
    <row r="491" spans="1:8" x14ac:dyDescent="0.3">
      <c r="A491" t="s">
        <v>495</v>
      </c>
      <c r="B491" s="4" t="d">
        <v>2026-05-05</v>
      </c>
      <c r="C491" t="s">
        <v>740</v>
      </c>
      <c r="D491" t="s">
        <v>746</v>
      </c>
      <c r="E491" t="s">
        <v>758</v>
      </c>
      <c r="F491" t="s">
        <v>747</v>
      </c>
      <c r="H491" t="s">
        <v>759</v>
      </c>
    </row>
    <row r="492" spans="1:8" x14ac:dyDescent="0.3">
      <c r="A492" t="s">
        <v>496</v>
      </c>
      <c r="B492" s="4" t="d">
        <v>2026-05-06</v>
      </c>
      <c r="C492" t="s">
        <v>765</v>
      </c>
      <c r="D492" t="s">
        <v>745</v>
      </c>
      <c r="E492" t="s">
        <v>756</v>
      </c>
      <c r="F492" t="s">
        <v>748</v>
      </c>
      <c r="H492" t="s">
        <v>759</v>
      </c>
    </row>
    <row r="493" spans="1:8" x14ac:dyDescent="0.3">
      <c r="A493" t="s">
        <v>497</v>
      </c>
      <c r="B493" s="4" t="d">
        <v>2026-05-07</v>
      </c>
      <c r="C493" t="s">
        <v>741</v>
      </c>
      <c r="D493" t="s">
        <v>745</v>
      </c>
      <c r="E493" t="s">
        <v>756</v>
      </c>
      <c r="F493" t="s">
        <v>753</v>
      </c>
      <c r="H493" t="s">
        <v>759</v>
      </c>
    </row>
    <row r="494" spans="1:8" x14ac:dyDescent="0.3">
      <c r="A494" t="s">
        <v>498</v>
      </c>
      <c r="B494" s="4" t="d">
        <v>2026-05-08</v>
      </c>
      <c r="C494" t="s">
        <v>741</v>
      </c>
      <c r="D494" t="s">
        <v>745</v>
      </c>
      <c r="E494" t="s">
        <v>756</v>
      </c>
      <c r="F494" t="s">
        <v>752</v>
      </c>
      <c r="H494" t="s">
        <v>759</v>
      </c>
    </row>
    <row r="495" spans="1:8" x14ac:dyDescent="0.3">
      <c r="A495" t="s">
        <v>499</v>
      </c>
      <c r="B495" s="4" t="d">
        <v>2026-05-09</v>
      </c>
      <c r="C495" t="s">
        <v>765</v>
      </c>
      <c r="D495" t="s">
        <v>745</v>
      </c>
      <c r="E495" t="s">
        <v>756</v>
      </c>
      <c r="F495" t="s">
        <v>748</v>
      </c>
      <c r="H495" t="s">
        <v>759</v>
      </c>
    </row>
    <row r="496" spans="1:8" x14ac:dyDescent="0.3">
      <c r="A496" t="s">
        <v>500</v>
      </c>
      <c r="B496" s="4" t="d">
        <v>2026-05-10</v>
      </c>
      <c r="C496" t="s">
        <v>767</v>
      </c>
      <c r="D496" t="s">
        <v>746</v>
      </c>
      <c r="E496" t="s">
        <v>756</v>
      </c>
      <c r="F496" t="s">
        <v>754</v>
      </c>
      <c r="H496" t="s">
        <v>759</v>
      </c>
    </row>
    <row r="497" spans="1:8" x14ac:dyDescent="0.3">
      <c r="A497" t="s">
        <v>501</v>
      </c>
      <c r="B497" s="4" t="d">
        <v>2026-05-11</v>
      </c>
      <c r="C497" t="s">
        <v>766</v>
      </c>
      <c r="D497" t="s">
        <v>746</v>
      </c>
      <c r="E497" t="s">
        <v>755</v>
      </c>
      <c r="F497" t="s">
        <v>750</v>
      </c>
      <c r="G497" s="9">
        <v>40</v>
      </c>
      <c r="H497">
        <v>4</v>
      </c>
    </row>
    <row r="498" spans="1:8" x14ac:dyDescent="0.3">
      <c r="A498" t="s">
        <v>502</v>
      </c>
      <c r="B498" s="4" t="d">
        <v>2026-05-12</v>
      </c>
      <c r="C498" t="s">
        <v>767</v>
      </c>
      <c r="D498" t="s">
        <v>746</v>
      </c>
      <c r="E498" t="s">
        <v>755</v>
      </c>
      <c r="F498" t="s">
        <v>754</v>
      </c>
      <c r="G498" s="9">
        <v>12</v>
      </c>
      <c r="H498">
        <v>4</v>
      </c>
    </row>
    <row r="499" spans="1:8" x14ac:dyDescent="0.3">
      <c r="A499" t="s">
        <v>503</v>
      </c>
      <c r="B499" s="4" t="d">
        <v>2026-05-13</v>
      </c>
      <c r="C499" t="s">
        <v>740</v>
      </c>
      <c r="D499" t="s">
        <v>746</v>
      </c>
      <c r="E499" t="s">
        <v>755</v>
      </c>
      <c r="F499" t="s">
        <v>752</v>
      </c>
      <c r="G499" s="9">
        <v>7</v>
      </c>
      <c r="H499">
        <v>3</v>
      </c>
    </row>
    <row r="500" spans="1:8" x14ac:dyDescent="0.3">
      <c r="A500" t="s">
        <v>504</v>
      </c>
      <c r="B500" s="4" t="d">
        <v>2026-05-14</v>
      </c>
      <c r="C500" t="s">
        <v>740</v>
      </c>
      <c r="D500" t="s">
        <v>746</v>
      </c>
      <c r="E500" t="s">
        <v>758</v>
      </c>
      <c r="F500" t="s">
        <v>747</v>
      </c>
      <c r="H500" t="s">
        <v>759</v>
      </c>
    </row>
    <row r="501" spans="1:8" x14ac:dyDescent="0.3">
      <c r="A501" t="s">
        <v>505</v>
      </c>
      <c r="B501" s="4" t="d">
        <v>2026-05-15</v>
      </c>
      <c r="C501" t="s">
        <v>740</v>
      </c>
      <c r="D501" t="s">
        <v>746</v>
      </c>
      <c r="E501" t="s">
        <v>757</v>
      </c>
      <c r="F501" t="s">
        <v>751</v>
      </c>
      <c r="H501" t="s">
        <v>759</v>
      </c>
    </row>
    <row r="502" spans="1:8" x14ac:dyDescent="0.3">
      <c r="A502" t="s">
        <v>506</v>
      </c>
      <c r="B502" s="4" t="d">
        <v>2026-05-16</v>
      </c>
      <c r="C502" t="s">
        <v>741</v>
      </c>
      <c r="D502" t="s">
        <v>745</v>
      </c>
      <c r="E502" t="s">
        <v>755</v>
      </c>
      <c r="F502" t="s">
        <v>750</v>
      </c>
      <c r="G502" s="9">
        <v>32</v>
      </c>
      <c r="H502">
        <v>4</v>
      </c>
    </row>
    <row r="503" spans="1:8" x14ac:dyDescent="0.3">
      <c r="A503" t="s">
        <v>507</v>
      </c>
      <c r="B503" s="4" t="d">
        <v>2026-05-17</v>
      </c>
      <c r="C503" t="s">
        <v>767</v>
      </c>
      <c r="D503" t="s">
        <v>746</v>
      </c>
      <c r="E503" t="s">
        <v>755</v>
      </c>
      <c r="F503" t="s">
        <v>750</v>
      </c>
      <c r="G503" s="9">
        <v>13</v>
      </c>
      <c r="H503">
        <v>4</v>
      </c>
    </row>
    <row r="504" spans="1:8" x14ac:dyDescent="0.3">
      <c r="A504" t="s">
        <v>508</v>
      </c>
      <c r="B504" s="4" t="d">
        <v>2026-05-18</v>
      </c>
      <c r="C504" t="s">
        <v>767</v>
      </c>
      <c r="D504" t="s">
        <v>746</v>
      </c>
      <c r="E504" t="s">
        <v>755</v>
      </c>
      <c r="F504" t="s">
        <v>749</v>
      </c>
      <c r="G504" s="9">
        <v>5</v>
      </c>
      <c r="H504">
        <v>5</v>
      </c>
    </row>
    <row r="505" spans="1:8" x14ac:dyDescent="0.3">
      <c r="A505" t="s">
        <v>509</v>
      </c>
      <c r="B505" s="4" t="d">
        <v>2026-05-19</v>
      </c>
      <c r="C505" t="s">
        <v>765</v>
      </c>
      <c r="D505" t="s">
        <v>745</v>
      </c>
      <c r="E505" t="s">
        <v>755</v>
      </c>
      <c r="F505" t="s">
        <v>749</v>
      </c>
      <c r="G505" s="9">
        <v>8</v>
      </c>
      <c r="H505">
        <v>3</v>
      </c>
    </row>
    <row r="506" spans="1:8" x14ac:dyDescent="0.3">
      <c r="A506" t="s">
        <v>510</v>
      </c>
      <c r="B506" s="4" t="d">
        <v>2026-05-20</v>
      </c>
      <c r="C506" t="s">
        <v>766</v>
      </c>
      <c r="D506" t="s">
        <v>745</v>
      </c>
      <c r="E506" t="s">
        <v>757</v>
      </c>
      <c r="F506" t="s">
        <v>752</v>
      </c>
      <c r="H506" t="s">
        <v>759</v>
      </c>
    </row>
    <row r="507" spans="1:8" x14ac:dyDescent="0.3">
      <c r="A507" t="s">
        <v>511</v>
      </c>
      <c r="B507" s="4" t="d">
        <v>2026-05-21</v>
      </c>
      <c r="C507" t="s">
        <v>740</v>
      </c>
      <c r="D507" t="s">
        <v>746</v>
      </c>
      <c r="E507" t="s">
        <v>756</v>
      </c>
      <c r="F507" t="s">
        <v>754</v>
      </c>
      <c r="H507" t="s">
        <v>759</v>
      </c>
    </row>
    <row r="508" spans="1:8" x14ac:dyDescent="0.3">
      <c r="A508" t="s">
        <v>512</v>
      </c>
      <c r="B508" s="4" t="d">
        <v>2026-05-22</v>
      </c>
      <c r="C508" t="s">
        <v>767</v>
      </c>
      <c r="D508" t="s">
        <v>746</v>
      </c>
      <c r="E508" t="s">
        <v>757</v>
      </c>
      <c r="F508" t="s">
        <v>754</v>
      </c>
      <c r="H508" t="s">
        <v>759</v>
      </c>
    </row>
    <row r="509" spans="1:8" x14ac:dyDescent="0.3">
      <c r="A509" t="s">
        <v>513</v>
      </c>
      <c r="B509" s="4" t="d">
        <v>2026-05-23</v>
      </c>
      <c r="C509" t="s">
        <v>740</v>
      </c>
      <c r="D509" t="s">
        <v>746</v>
      </c>
      <c r="E509" t="s">
        <v>755</v>
      </c>
      <c r="F509" t="s">
        <v>753</v>
      </c>
      <c r="G509" s="9">
        <v>5</v>
      </c>
      <c r="H509">
        <v>3</v>
      </c>
    </row>
    <row r="510" spans="1:8" x14ac:dyDescent="0.3">
      <c r="A510" t="s">
        <v>514</v>
      </c>
      <c r="B510" s="4" t="d">
        <v>2026-05-24</v>
      </c>
      <c r="C510" t="s">
        <v>741</v>
      </c>
      <c r="D510" t="s">
        <v>746</v>
      </c>
      <c r="E510" t="s">
        <v>755</v>
      </c>
      <c r="F510" t="s">
        <v>747</v>
      </c>
      <c r="G510" s="9">
        <v>14</v>
      </c>
      <c r="H510">
        <v>5</v>
      </c>
    </row>
    <row r="511" spans="1:8" x14ac:dyDescent="0.3">
      <c r="A511" t="s">
        <v>515</v>
      </c>
      <c r="B511" s="4" t="d">
        <v>2026-05-25</v>
      </c>
      <c r="C511" t="s">
        <v>766</v>
      </c>
      <c r="D511" t="s">
        <v>746</v>
      </c>
      <c r="E511" t="s">
        <v>756</v>
      </c>
      <c r="F511" t="s">
        <v>750</v>
      </c>
      <c r="H511" t="s">
        <v>759</v>
      </c>
    </row>
    <row r="512" spans="1:8" x14ac:dyDescent="0.3">
      <c r="A512" t="s">
        <v>516</v>
      </c>
      <c r="B512" s="4" t="d">
        <v>2026-05-26</v>
      </c>
      <c r="C512" t="s">
        <v>740</v>
      </c>
      <c r="D512" t="s">
        <v>746</v>
      </c>
      <c r="E512" t="s">
        <v>756</v>
      </c>
      <c r="F512" t="s">
        <v>753</v>
      </c>
      <c r="H512" t="s">
        <v>759</v>
      </c>
    </row>
    <row r="513" spans="1:8" x14ac:dyDescent="0.3">
      <c r="A513" t="s">
        <v>517</v>
      </c>
      <c r="B513" s="4" t="d">
        <v>2026-05-27</v>
      </c>
      <c r="C513" t="s">
        <v>741</v>
      </c>
      <c r="D513" t="s">
        <v>745</v>
      </c>
      <c r="E513" t="s">
        <v>756</v>
      </c>
      <c r="F513" t="s">
        <v>753</v>
      </c>
      <c r="H513" t="s">
        <v>759</v>
      </c>
    </row>
    <row r="514" spans="1:8" x14ac:dyDescent="0.3">
      <c r="A514" t="s">
        <v>518</v>
      </c>
      <c r="B514" s="4" t="d">
        <v>2026-05-28</v>
      </c>
      <c r="C514" t="s">
        <v>767</v>
      </c>
      <c r="D514" t="s">
        <v>746</v>
      </c>
      <c r="E514" t="s">
        <v>755</v>
      </c>
      <c r="F514" t="s">
        <v>750</v>
      </c>
      <c r="G514" s="9">
        <v>11</v>
      </c>
      <c r="H514">
        <v>5</v>
      </c>
    </row>
    <row r="515" spans="1:8" x14ac:dyDescent="0.3">
      <c r="A515" t="s">
        <v>519</v>
      </c>
      <c r="B515" s="4" t="d">
        <v>2026-05-29</v>
      </c>
      <c r="C515" t="s">
        <v>740</v>
      </c>
      <c r="D515" t="s">
        <v>746</v>
      </c>
      <c r="E515" t="s">
        <v>756</v>
      </c>
      <c r="F515" t="s">
        <v>754</v>
      </c>
      <c r="H515" t="s">
        <v>759</v>
      </c>
    </row>
    <row r="516" spans="1:8" x14ac:dyDescent="0.3">
      <c r="A516" t="s">
        <v>520</v>
      </c>
      <c r="B516" s="4" t="d">
        <v>2026-05-30</v>
      </c>
      <c r="C516" t="s">
        <v>766</v>
      </c>
      <c r="D516" t="s">
        <v>745</v>
      </c>
      <c r="E516" t="s">
        <v>757</v>
      </c>
      <c r="F516" t="s">
        <v>748</v>
      </c>
      <c r="H516" t="s">
        <v>759</v>
      </c>
    </row>
    <row r="517" spans="1:8" x14ac:dyDescent="0.3">
      <c r="A517" t="s">
        <v>521</v>
      </c>
      <c r="B517" s="4" t="d">
        <v>2026-05-31</v>
      </c>
      <c r="C517" t="s">
        <v>767</v>
      </c>
      <c r="D517" t="s">
        <v>746</v>
      </c>
      <c r="E517" t="s">
        <v>755</v>
      </c>
      <c r="F517" t="s">
        <v>748</v>
      </c>
      <c r="G517" s="9">
        <v>14</v>
      </c>
      <c r="H517">
        <v>5</v>
      </c>
    </row>
    <row r="518" spans="1:8" x14ac:dyDescent="0.3">
      <c r="A518" t="s">
        <v>522</v>
      </c>
      <c r="B518" s="4" t="d">
        <v>2026-06-01</v>
      </c>
      <c r="C518" t="s">
        <v>767</v>
      </c>
      <c r="D518" t="s">
        <v>746</v>
      </c>
      <c r="E518" t="s">
        <v>755</v>
      </c>
      <c r="F518" t="s">
        <v>754</v>
      </c>
      <c r="G518" s="9">
        <v>6</v>
      </c>
      <c r="H518">
        <v>4</v>
      </c>
    </row>
    <row r="519" spans="1:8" x14ac:dyDescent="0.3">
      <c r="A519" t="s">
        <v>523</v>
      </c>
      <c r="B519" s="4" t="d">
        <v>2026-06-02</v>
      </c>
      <c r="C519" t="s">
        <v>740</v>
      </c>
      <c r="D519" t="s">
        <v>746</v>
      </c>
      <c r="E519" t="s">
        <v>757</v>
      </c>
      <c r="F519" t="s">
        <v>753</v>
      </c>
      <c r="H519" t="s">
        <v>759</v>
      </c>
    </row>
    <row r="520" spans="1:8" x14ac:dyDescent="0.3">
      <c r="A520" t="s">
        <v>524</v>
      </c>
      <c r="B520" s="4" t="d">
        <v>2026-06-03</v>
      </c>
      <c r="C520" t="s">
        <v>766</v>
      </c>
      <c r="D520" t="s">
        <v>746</v>
      </c>
      <c r="E520" t="s">
        <v>755</v>
      </c>
      <c r="F520" t="s">
        <v>750</v>
      </c>
      <c r="G520" s="9">
        <v>24</v>
      </c>
      <c r="H520">
        <v>5</v>
      </c>
    </row>
    <row r="521" spans="1:8" x14ac:dyDescent="0.3">
      <c r="A521" t="s">
        <v>525</v>
      </c>
      <c r="B521" s="4" t="d">
        <v>2026-06-04</v>
      </c>
      <c r="C521" t="s">
        <v>765</v>
      </c>
      <c r="D521" t="s">
        <v>745</v>
      </c>
      <c r="E521" t="s">
        <v>755</v>
      </c>
      <c r="F521" t="s">
        <v>748</v>
      </c>
      <c r="G521" s="9">
        <v>5</v>
      </c>
      <c r="H521">
        <v>5</v>
      </c>
    </row>
    <row r="522" spans="1:8" x14ac:dyDescent="0.3">
      <c r="A522" t="s">
        <v>526</v>
      </c>
      <c r="B522" s="4" t="d">
        <v>2026-06-05</v>
      </c>
      <c r="C522" t="s">
        <v>741</v>
      </c>
      <c r="D522" t="s">
        <v>745</v>
      </c>
      <c r="E522" t="s">
        <v>758</v>
      </c>
      <c r="F522" t="s">
        <v>747</v>
      </c>
      <c r="H522" t="s">
        <v>759</v>
      </c>
    </row>
    <row r="523" spans="1:8" x14ac:dyDescent="0.3">
      <c r="A523" t="s">
        <v>527</v>
      </c>
      <c r="B523" s="4" t="d">
        <v>2026-06-06</v>
      </c>
      <c r="C523" t="s">
        <v>741</v>
      </c>
      <c r="D523" t="s">
        <v>746</v>
      </c>
      <c r="E523" t="s">
        <v>756</v>
      </c>
      <c r="F523" t="s">
        <v>750</v>
      </c>
      <c r="H523" t="s">
        <v>759</v>
      </c>
    </row>
    <row r="524" spans="1:8" x14ac:dyDescent="0.3">
      <c r="A524" t="s">
        <v>528</v>
      </c>
      <c r="B524" s="4" t="d">
        <v>2026-06-07</v>
      </c>
      <c r="C524" t="s">
        <v>765</v>
      </c>
      <c r="D524" t="s">
        <v>745</v>
      </c>
      <c r="E524" t="s">
        <v>758</v>
      </c>
      <c r="F524" t="s">
        <v>751</v>
      </c>
      <c r="H524" t="s">
        <v>759</v>
      </c>
    </row>
    <row r="525" spans="1:8" x14ac:dyDescent="0.3">
      <c r="A525" t="s">
        <v>529</v>
      </c>
      <c r="B525" s="4" t="d">
        <v>2026-06-08</v>
      </c>
      <c r="C525" t="s">
        <v>740</v>
      </c>
      <c r="D525" t="s">
        <v>746</v>
      </c>
      <c r="E525" t="s">
        <v>758</v>
      </c>
      <c r="F525" t="s">
        <v>750</v>
      </c>
      <c r="H525" t="s">
        <v>759</v>
      </c>
    </row>
    <row r="526" spans="1:8" x14ac:dyDescent="0.3">
      <c r="A526" t="s">
        <v>530</v>
      </c>
      <c r="B526" s="4" t="d">
        <v>2026-06-09</v>
      </c>
      <c r="C526" t="s">
        <v>765</v>
      </c>
      <c r="D526" t="s">
        <v>745</v>
      </c>
      <c r="E526" t="s">
        <v>755</v>
      </c>
      <c r="F526" t="s">
        <v>747</v>
      </c>
      <c r="G526" s="9">
        <v>7</v>
      </c>
      <c r="H526">
        <v>3</v>
      </c>
    </row>
    <row r="527" spans="1:8" x14ac:dyDescent="0.3">
      <c r="A527" t="s">
        <v>531</v>
      </c>
      <c r="B527" s="4" t="d">
        <v>2026-06-10</v>
      </c>
      <c r="C527" t="s">
        <v>741</v>
      </c>
      <c r="D527" t="s">
        <v>745</v>
      </c>
      <c r="E527" t="s">
        <v>756</v>
      </c>
      <c r="F527" t="s">
        <v>750</v>
      </c>
      <c r="H527" t="s">
        <v>759</v>
      </c>
    </row>
    <row r="528" spans="1:8" x14ac:dyDescent="0.3">
      <c r="A528" t="s">
        <v>532</v>
      </c>
      <c r="B528" s="4" t="d">
        <v>2026-06-11</v>
      </c>
      <c r="C528" t="s">
        <v>766</v>
      </c>
      <c r="D528" t="s">
        <v>745</v>
      </c>
      <c r="E528" t="s">
        <v>756</v>
      </c>
      <c r="F528" t="s">
        <v>750</v>
      </c>
      <c r="H528" t="s">
        <v>759</v>
      </c>
    </row>
    <row r="529" spans="1:8" x14ac:dyDescent="0.3">
      <c r="A529" t="s">
        <v>533</v>
      </c>
      <c r="B529" s="4" t="d">
        <v>2026-06-12</v>
      </c>
      <c r="C529" t="s">
        <v>765</v>
      </c>
      <c r="D529" t="s">
        <v>745</v>
      </c>
      <c r="E529" t="s">
        <v>757</v>
      </c>
      <c r="F529" t="s">
        <v>747</v>
      </c>
      <c r="H529" t="s">
        <v>759</v>
      </c>
    </row>
    <row r="530" spans="1:8" x14ac:dyDescent="0.3">
      <c r="A530" t="s">
        <v>534</v>
      </c>
      <c r="B530" s="4" t="d">
        <v>2026-06-13</v>
      </c>
      <c r="C530" t="s">
        <v>741</v>
      </c>
      <c r="D530" t="s">
        <v>745</v>
      </c>
      <c r="E530" t="s">
        <v>755</v>
      </c>
      <c r="F530" t="s">
        <v>747</v>
      </c>
      <c r="G530" s="9">
        <v>22</v>
      </c>
      <c r="H530">
        <v>4</v>
      </c>
    </row>
    <row r="531" spans="1:8" x14ac:dyDescent="0.3">
      <c r="A531" t="s">
        <v>535</v>
      </c>
      <c r="B531" s="4" t="d">
        <v>2026-06-14</v>
      </c>
      <c r="C531" t="s">
        <v>741</v>
      </c>
      <c r="D531" t="s">
        <v>746</v>
      </c>
      <c r="E531" t="s">
        <v>757</v>
      </c>
      <c r="F531" t="s">
        <v>749</v>
      </c>
      <c r="H531" t="s">
        <v>759</v>
      </c>
    </row>
    <row r="532" spans="1:8" x14ac:dyDescent="0.3">
      <c r="A532" t="s">
        <v>536</v>
      </c>
      <c r="B532" s="4" t="d">
        <v>2026-06-15</v>
      </c>
      <c r="C532" t="s">
        <v>740</v>
      </c>
      <c r="D532" t="s">
        <v>746</v>
      </c>
      <c r="E532" t="s">
        <v>755</v>
      </c>
      <c r="F532" t="s">
        <v>751</v>
      </c>
      <c r="G532" s="9">
        <v>5</v>
      </c>
      <c r="H532">
        <v>3</v>
      </c>
    </row>
    <row r="533" spans="1:8" x14ac:dyDescent="0.3">
      <c r="A533" t="s">
        <v>537</v>
      </c>
      <c r="B533" s="4" t="d">
        <v>2026-06-16</v>
      </c>
      <c r="C533" t="s">
        <v>741</v>
      </c>
      <c r="D533" t="s">
        <v>746</v>
      </c>
      <c r="E533" t="s">
        <v>757</v>
      </c>
      <c r="F533" t="s">
        <v>752</v>
      </c>
      <c r="H533" t="s">
        <v>759</v>
      </c>
    </row>
    <row r="534" spans="1:8" x14ac:dyDescent="0.3">
      <c r="A534" t="s">
        <v>538</v>
      </c>
      <c r="B534" s="4" t="d">
        <v>2026-06-17</v>
      </c>
      <c r="C534" t="s">
        <v>765</v>
      </c>
      <c r="D534" t="s">
        <v>745</v>
      </c>
      <c r="E534" t="s">
        <v>755</v>
      </c>
      <c r="F534" t="s">
        <v>747</v>
      </c>
      <c r="G534" s="9">
        <v>8</v>
      </c>
      <c r="H534">
        <v>5</v>
      </c>
    </row>
    <row r="535" spans="1:8" x14ac:dyDescent="0.3">
      <c r="A535" t="s">
        <v>539</v>
      </c>
      <c r="B535" s="4" t="d">
        <v>2026-06-18</v>
      </c>
      <c r="C535" t="s">
        <v>765</v>
      </c>
      <c r="D535" t="s">
        <v>745</v>
      </c>
      <c r="E535" t="s">
        <v>755</v>
      </c>
      <c r="F535" t="s">
        <v>747</v>
      </c>
      <c r="G535" s="9">
        <v>5</v>
      </c>
      <c r="H535">
        <v>3</v>
      </c>
    </row>
    <row r="536" spans="1:8" x14ac:dyDescent="0.3">
      <c r="A536" t="s">
        <v>540</v>
      </c>
      <c r="B536" s="4" t="d">
        <v>2026-06-19</v>
      </c>
      <c r="C536" t="s">
        <v>740</v>
      </c>
      <c r="D536" t="s">
        <v>746</v>
      </c>
      <c r="E536" t="s">
        <v>756</v>
      </c>
      <c r="F536" t="s">
        <v>748</v>
      </c>
      <c r="H536" t="s">
        <v>759</v>
      </c>
    </row>
    <row r="537" spans="1:8" x14ac:dyDescent="0.3">
      <c r="A537" t="s">
        <v>541</v>
      </c>
      <c r="B537" s="4" t="d">
        <v>2026-06-20</v>
      </c>
      <c r="C537" t="s">
        <v>766</v>
      </c>
      <c r="D537" t="s">
        <v>746</v>
      </c>
      <c r="E537" t="s">
        <v>757</v>
      </c>
      <c r="F537" t="s">
        <v>754</v>
      </c>
      <c r="H537" t="s">
        <v>759</v>
      </c>
    </row>
    <row r="538" spans="1:8" x14ac:dyDescent="0.3">
      <c r="A538" t="s">
        <v>542</v>
      </c>
      <c r="B538" s="4" t="d">
        <v>2026-06-21</v>
      </c>
      <c r="C538" t="s">
        <v>741</v>
      </c>
      <c r="D538" t="s">
        <v>746</v>
      </c>
      <c r="E538" t="s">
        <v>755</v>
      </c>
      <c r="F538" t="s">
        <v>749</v>
      </c>
      <c r="G538" s="9">
        <v>41</v>
      </c>
      <c r="H538">
        <v>3</v>
      </c>
    </row>
    <row r="539" spans="1:8" x14ac:dyDescent="0.3">
      <c r="A539" t="s">
        <v>543</v>
      </c>
      <c r="B539" s="4" t="d">
        <v>2026-06-22</v>
      </c>
      <c r="C539" t="s">
        <v>741</v>
      </c>
      <c r="D539" t="s">
        <v>746</v>
      </c>
      <c r="E539" t="s">
        <v>756</v>
      </c>
      <c r="F539" t="s">
        <v>754</v>
      </c>
      <c r="H539" t="s">
        <v>759</v>
      </c>
    </row>
    <row r="540" spans="1:8" x14ac:dyDescent="0.3">
      <c r="A540" t="s">
        <v>544</v>
      </c>
      <c r="B540" s="4" t="d">
        <v>2026-06-23</v>
      </c>
      <c r="C540" t="s">
        <v>740</v>
      </c>
      <c r="D540" t="s">
        <v>746</v>
      </c>
      <c r="E540" t="s">
        <v>757</v>
      </c>
      <c r="F540" t="s">
        <v>751</v>
      </c>
      <c r="H540" t="s">
        <v>759</v>
      </c>
    </row>
    <row r="541" spans="1:8" x14ac:dyDescent="0.3">
      <c r="A541" t="s">
        <v>545</v>
      </c>
      <c r="B541" s="4" t="d">
        <v>2026-06-24</v>
      </c>
      <c r="C541" t="s">
        <v>740</v>
      </c>
      <c r="D541" t="s">
        <v>746</v>
      </c>
      <c r="E541" t="s">
        <v>756</v>
      </c>
      <c r="F541" t="s">
        <v>752</v>
      </c>
      <c r="H541" t="s">
        <v>759</v>
      </c>
    </row>
    <row r="542" spans="1:8" x14ac:dyDescent="0.3">
      <c r="A542" t="s">
        <v>546</v>
      </c>
      <c r="B542" s="4" t="d">
        <v>2026-06-25</v>
      </c>
      <c r="C542" t="s">
        <v>741</v>
      </c>
      <c r="D542" t="s">
        <v>745</v>
      </c>
      <c r="E542" t="s">
        <v>755</v>
      </c>
      <c r="F542" t="s">
        <v>752</v>
      </c>
      <c r="G542" s="9">
        <v>18</v>
      </c>
      <c r="H542">
        <v>4</v>
      </c>
    </row>
    <row r="543" spans="1:8" x14ac:dyDescent="0.3">
      <c r="A543" t="s">
        <v>547</v>
      </c>
      <c r="B543" s="4" t="d">
        <v>2026-06-26</v>
      </c>
      <c r="C543" t="s">
        <v>767</v>
      </c>
      <c r="D543" t="s">
        <v>746</v>
      </c>
      <c r="E543" t="s">
        <v>755</v>
      </c>
      <c r="F543" t="s">
        <v>749</v>
      </c>
      <c r="G543" s="9">
        <v>8</v>
      </c>
      <c r="H543">
        <v>4</v>
      </c>
    </row>
    <row r="544" spans="1:8" x14ac:dyDescent="0.3">
      <c r="A544" t="s">
        <v>548</v>
      </c>
      <c r="B544" s="4" t="d">
        <v>2026-06-27</v>
      </c>
      <c r="C544" t="s">
        <v>765</v>
      </c>
      <c r="D544" t="s">
        <v>745</v>
      </c>
      <c r="E544" t="s">
        <v>756</v>
      </c>
      <c r="F544" t="s">
        <v>748</v>
      </c>
      <c r="H544" t="s">
        <v>759</v>
      </c>
    </row>
    <row r="545" spans="1:8" x14ac:dyDescent="0.3">
      <c r="A545" t="s">
        <v>549</v>
      </c>
      <c r="B545" s="4" t="d">
        <v>2026-06-28</v>
      </c>
      <c r="C545" t="s">
        <v>765</v>
      </c>
      <c r="D545" t="s">
        <v>745</v>
      </c>
      <c r="E545" t="s">
        <v>757</v>
      </c>
      <c r="F545" t="s">
        <v>749</v>
      </c>
      <c r="H545" t="s">
        <v>759</v>
      </c>
    </row>
    <row r="546" spans="1:8" x14ac:dyDescent="0.3">
      <c r="A546" t="s">
        <v>550</v>
      </c>
      <c r="B546" s="4" t="d">
        <v>2026-06-29</v>
      </c>
      <c r="C546" t="s">
        <v>766</v>
      </c>
      <c r="D546" t="s">
        <v>746</v>
      </c>
      <c r="E546" t="s">
        <v>756</v>
      </c>
      <c r="F546" t="s">
        <v>750</v>
      </c>
      <c r="H546" t="s">
        <v>759</v>
      </c>
    </row>
    <row r="547" spans="1:8" x14ac:dyDescent="0.3">
      <c r="A547" t="s">
        <v>551</v>
      </c>
      <c r="B547" s="4" t="d">
        <v>2026-06-30</v>
      </c>
      <c r="C547" t="s">
        <v>766</v>
      </c>
      <c r="D547" t="s">
        <v>745</v>
      </c>
      <c r="E547" t="s">
        <v>755</v>
      </c>
      <c r="F547" t="s">
        <v>751</v>
      </c>
      <c r="G547" s="9">
        <v>42</v>
      </c>
      <c r="H547">
        <v>5</v>
      </c>
    </row>
    <row r="548" spans="1:8" x14ac:dyDescent="0.3">
      <c r="A548" t="s">
        <v>552</v>
      </c>
      <c r="B548" s="4" t="d">
        <v>2026-07-01</v>
      </c>
      <c r="C548" t="s">
        <v>740</v>
      </c>
      <c r="D548" t="s">
        <v>746</v>
      </c>
      <c r="E548" t="s">
        <v>756</v>
      </c>
      <c r="F548" t="s">
        <v>751</v>
      </c>
      <c r="H548" t="s">
        <v>759</v>
      </c>
    </row>
    <row r="549" spans="1:8" x14ac:dyDescent="0.3">
      <c r="A549" t="s">
        <v>553</v>
      </c>
      <c r="B549" s="4" t="d">
        <v>2026-07-02</v>
      </c>
      <c r="C549" t="s">
        <v>767</v>
      </c>
      <c r="D549" t="s">
        <v>746</v>
      </c>
      <c r="E549" t="s">
        <v>755</v>
      </c>
      <c r="F549" t="s">
        <v>752</v>
      </c>
      <c r="G549" s="9">
        <v>11</v>
      </c>
      <c r="H549">
        <v>5</v>
      </c>
    </row>
    <row r="550" spans="1:8" x14ac:dyDescent="0.3">
      <c r="A550" t="s">
        <v>554</v>
      </c>
      <c r="B550" s="4" t="d">
        <v>2026-07-03</v>
      </c>
      <c r="C550" t="s">
        <v>767</v>
      </c>
      <c r="D550" t="s">
        <v>746</v>
      </c>
      <c r="E550" t="s">
        <v>758</v>
      </c>
      <c r="F550" t="s">
        <v>753</v>
      </c>
      <c r="H550" t="s">
        <v>759</v>
      </c>
    </row>
    <row r="551" spans="1:8" x14ac:dyDescent="0.3">
      <c r="A551" t="s">
        <v>555</v>
      </c>
      <c r="B551" s="4" t="d">
        <v>2026-07-04</v>
      </c>
      <c r="C551" t="s">
        <v>766</v>
      </c>
      <c r="D551" t="s">
        <v>745</v>
      </c>
      <c r="E551" t="s">
        <v>756</v>
      </c>
      <c r="F551" t="s">
        <v>752</v>
      </c>
      <c r="H551" t="s">
        <v>759</v>
      </c>
    </row>
    <row r="552" spans="1:8" x14ac:dyDescent="0.3">
      <c r="A552" t="s">
        <v>556</v>
      </c>
      <c r="B552" s="4" t="d">
        <v>2026-07-05</v>
      </c>
      <c r="C552" t="s">
        <v>740</v>
      </c>
      <c r="D552" t="s">
        <v>746</v>
      </c>
      <c r="E552" t="s">
        <v>758</v>
      </c>
      <c r="F552" t="s">
        <v>753</v>
      </c>
      <c r="H552" t="s">
        <v>759</v>
      </c>
    </row>
    <row r="553" spans="1:8" x14ac:dyDescent="0.3">
      <c r="A553" t="s">
        <v>557</v>
      </c>
      <c r="B553" s="4" t="d">
        <v>2026-07-06</v>
      </c>
      <c r="C553" t="s">
        <v>766</v>
      </c>
      <c r="D553" t="s">
        <v>746</v>
      </c>
      <c r="E553" t="s">
        <v>757</v>
      </c>
      <c r="F553" t="s">
        <v>749</v>
      </c>
      <c r="H553" t="s">
        <v>759</v>
      </c>
    </row>
    <row r="554" spans="1:8" x14ac:dyDescent="0.3">
      <c r="A554" t="s">
        <v>558</v>
      </c>
      <c r="B554" s="4" t="d">
        <v>2026-07-07</v>
      </c>
      <c r="C554" t="s">
        <v>741</v>
      </c>
      <c r="D554" t="s">
        <v>746</v>
      </c>
      <c r="E554" t="s">
        <v>756</v>
      </c>
      <c r="F554" t="s">
        <v>747</v>
      </c>
      <c r="H554" t="s">
        <v>759</v>
      </c>
    </row>
    <row r="555" spans="1:8" x14ac:dyDescent="0.3">
      <c r="A555" t="s">
        <v>559</v>
      </c>
      <c r="B555" s="4" t="d">
        <v>2026-07-08</v>
      </c>
      <c r="C555" t="s">
        <v>741</v>
      </c>
      <c r="D555" t="s">
        <v>746</v>
      </c>
      <c r="E555" t="s">
        <v>755</v>
      </c>
      <c r="F555" t="s">
        <v>748</v>
      </c>
      <c r="G555" s="9">
        <v>37</v>
      </c>
      <c r="H555">
        <v>4</v>
      </c>
    </row>
    <row r="556" spans="1:8" x14ac:dyDescent="0.3">
      <c r="A556" t="s">
        <v>560</v>
      </c>
      <c r="B556" s="4" t="d">
        <v>2026-07-09</v>
      </c>
      <c r="C556" t="s">
        <v>766</v>
      </c>
      <c r="D556" t="s">
        <v>746</v>
      </c>
      <c r="E556" t="s">
        <v>755</v>
      </c>
      <c r="F556" t="s">
        <v>751</v>
      </c>
      <c r="G556" s="9">
        <v>17</v>
      </c>
      <c r="H556">
        <v>4</v>
      </c>
    </row>
    <row r="557" spans="1:8" x14ac:dyDescent="0.3">
      <c r="A557" t="s">
        <v>561</v>
      </c>
      <c r="B557" s="4" t="d">
        <v>2026-07-10</v>
      </c>
      <c r="C557" t="s">
        <v>765</v>
      </c>
      <c r="D557" t="s">
        <v>745</v>
      </c>
      <c r="E557" t="s">
        <v>756</v>
      </c>
      <c r="F557" t="s">
        <v>749</v>
      </c>
      <c r="H557" t="s">
        <v>759</v>
      </c>
    </row>
    <row r="558" spans="1:8" x14ac:dyDescent="0.3">
      <c r="A558" t="s">
        <v>562</v>
      </c>
      <c r="B558" s="4" t="d">
        <v>2026-07-11</v>
      </c>
      <c r="C558" t="s">
        <v>741</v>
      </c>
      <c r="D558" t="s">
        <v>745</v>
      </c>
      <c r="E558" t="s">
        <v>755</v>
      </c>
      <c r="F558" t="s">
        <v>751</v>
      </c>
      <c r="G558" s="9">
        <v>47</v>
      </c>
      <c r="H558">
        <v>3</v>
      </c>
    </row>
    <row r="559" spans="1:8" x14ac:dyDescent="0.3">
      <c r="A559" t="s">
        <v>563</v>
      </c>
      <c r="B559" s="4" t="d">
        <v>2026-07-12</v>
      </c>
      <c r="C559" t="s">
        <v>740</v>
      </c>
      <c r="D559" t="s">
        <v>746</v>
      </c>
      <c r="E559" t="s">
        <v>755</v>
      </c>
      <c r="F559" t="s">
        <v>751</v>
      </c>
      <c r="G559" s="9">
        <v>5</v>
      </c>
      <c r="H559">
        <v>5</v>
      </c>
    </row>
    <row r="560" spans="1:8" x14ac:dyDescent="0.3">
      <c r="A560" t="s">
        <v>564</v>
      </c>
      <c r="B560" s="4" t="d">
        <v>2026-07-13</v>
      </c>
      <c r="C560" t="s">
        <v>767</v>
      </c>
      <c r="D560" t="s">
        <v>746</v>
      </c>
      <c r="E560" t="s">
        <v>756</v>
      </c>
      <c r="F560" t="s">
        <v>748</v>
      </c>
      <c r="H560" t="s">
        <v>759</v>
      </c>
    </row>
    <row r="561" spans="1:8" x14ac:dyDescent="0.3">
      <c r="A561" t="s">
        <v>565</v>
      </c>
      <c r="B561" s="4" t="d">
        <v>2026-07-14</v>
      </c>
      <c r="C561" t="s">
        <v>766</v>
      </c>
      <c r="D561" t="s">
        <v>746</v>
      </c>
      <c r="E561" t="s">
        <v>755</v>
      </c>
      <c r="F561" t="s">
        <v>753</v>
      </c>
      <c r="G561" s="9">
        <v>28</v>
      </c>
      <c r="H561">
        <v>4</v>
      </c>
    </row>
    <row r="562" spans="1:8" x14ac:dyDescent="0.3">
      <c r="A562" t="s">
        <v>566</v>
      </c>
      <c r="B562" s="4" t="d">
        <v>2026-07-15</v>
      </c>
      <c r="C562" t="s">
        <v>740</v>
      </c>
      <c r="D562" t="s">
        <v>746</v>
      </c>
      <c r="E562" t="s">
        <v>755</v>
      </c>
      <c r="F562" t="s">
        <v>751</v>
      </c>
      <c r="G562" s="9">
        <v>3</v>
      </c>
      <c r="H562">
        <v>3</v>
      </c>
    </row>
    <row r="563" spans="1:8" x14ac:dyDescent="0.3">
      <c r="A563" t="s">
        <v>567</v>
      </c>
      <c r="B563" s="4" t="d">
        <v>2026-07-16</v>
      </c>
      <c r="C563" t="s">
        <v>741</v>
      </c>
      <c r="D563" t="s">
        <v>745</v>
      </c>
      <c r="E563" t="s">
        <v>758</v>
      </c>
      <c r="F563" t="s">
        <v>749</v>
      </c>
      <c r="H563" t="s">
        <v>759</v>
      </c>
    </row>
    <row r="564" spans="1:8" x14ac:dyDescent="0.3">
      <c r="A564" t="s">
        <v>568</v>
      </c>
      <c r="B564" s="4" t="d">
        <v>2026-07-17</v>
      </c>
      <c r="C564" t="s">
        <v>765</v>
      </c>
      <c r="D564" t="s">
        <v>745</v>
      </c>
      <c r="E564" t="s">
        <v>756</v>
      </c>
      <c r="F564" t="s">
        <v>748</v>
      </c>
      <c r="H564" t="s">
        <v>759</v>
      </c>
    </row>
    <row r="565" spans="1:8" x14ac:dyDescent="0.3">
      <c r="A565" t="s">
        <v>569</v>
      </c>
      <c r="B565" s="4" t="d">
        <v>2026-07-18</v>
      </c>
      <c r="C565" t="s">
        <v>765</v>
      </c>
      <c r="D565" t="s">
        <v>745</v>
      </c>
      <c r="E565" t="s">
        <v>757</v>
      </c>
      <c r="F565" t="s">
        <v>748</v>
      </c>
      <c r="H565" t="s">
        <v>759</v>
      </c>
    </row>
    <row r="566" spans="1:8" x14ac:dyDescent="0.3">
      <c r="A566" t="s">
        <v>570</v>
      </c>
      <c r="B566" s="4" t="d">
        <v>2026-07-19</v>
      </c>
      <c r="C566" t="s">
        <v>767</v>
      </c>
      <c r="D566" t="s">
        <v>746</v>
      </c>
      <c r="E566" t="s">
        <v>758</v>
      </c>
      <c r="F566" t="s">
        <v>747</v>
      </c>
      <c r="H566" t="s">
        <v>759</v>
      </c>
    </row>
    <row r="567" spans="1:8" x14ac:dyDescent="0.3">
      <c r="A567" t="s">
        <v>571</v>
      </c>
      <c r="B567" s="4" t="d">
        <v>2026-07-20</v>
      </c>
      <c r="C567" t="s">
        <v>741</v>
      </c>
      <c r="D567" t="s">
        <v>745</v>
      </c>
      <c r="E567" t="s">
        <v>758</v>
      </c>
      <c r="F567" t="s">
        <v>747</v>
      </c>
      <c r="H567" t="s">
        <v>759</v>
      </c>
    </row>
    <row r="568" spans="1:8" x14ac:dyDescent="0.3">
      <c r="A568" t="s">
        <v>572</v>
      </c>
      <c r="B568" s="4" t="d">
        <v>2026-07-21</v>
      </c>
      <c r="C568" t="s">
        <v>765</v>
      </c>
      <c r="D568" t="s">
        <v>745</v>
      </c>
      <c r="E568" t="s">
        <v>758</v>
      </c>
      <c r="F568" t="s">
        <v>749</v>
      </c>
      <c r="H568" t="s">
        <v>759</v>
      </c>
    </row>
    <row r="569" spans="1:8" x14ac:dyDescent="0.3">
      <c r="A569" t="s">
        <v>573</v>
      </c>
      <c r="B569" s="4" t="d">
        <v>2026-07-22</v>
      </c>
      <c r="C569" t="s">
        <v>767</v>
      </c>
      <c r="D569" t="s">
        <v>746</v>
      </c>
      <c r="E569" t="s">
        <v>756</v>
      </c>
      <c r="F569" t="s">
        <v>753</v>
      </c>
      <c r="H569" t="s">
        <v>759</v>
      </c>
    </row>
    <row r="570" spans="1:8" x14ac:dyDescent="0.3">
      <c r="A570" t="s">
        <v>574</v>
      </c>
      <c r="B570" s="4" t="d">
        <v>2026-07-23</v>
      </c>
      <c r="C570" t="s">
        <v>765</v>
      </c>
      <c r="D570" t="s">
        <v>745</v>
      </c>
      <c r="E570" t="s">
        <v>756</v>
      </c>
      <c r="F570" t="s">
        <v>750</v>
      </c>
      <c r="H570" t="s">
        <v>759</v>
      </c>
    </row>
    <row r="571" spans="1:8" x14ac:dyDescent="0.3">
      <c r="A571" t="s">
        <v>575</v>
      </c>
      <c r="B571" s="4" t="d">
        <v>2026-07-24</v>
      </c>
      <c r="C571" t="s">
        <v>765</v>
      </c>
      <c r="D571" t="s">
        <v>745</v>
      </c>
      <c r="E571" t="s">
        <v>756</v>
      </c>
      <c r="F571" t="s">
        <v>748</v>
      </c>
      <c r="H571" t="s">
        <v>759</v>
      </c>
    </row>
    <row r="572" spans="1:8" x14ac:dyDescent="0.3">
      <c r="A572" t="s">
        <v>576</v>
      </c>
      <c r="B572" s="4" t="d">
        <v>2026-07-25</v>
      </c>
      <c r="C572" t="s">
        <v>765</v>
      </c>
      <c r="D572" t="s">
        <v>745</v>
      </c>
      <c r="E572" t="s">
        <v>755</v>
      </c>
      <c r="F572" t="s">
        <v>752</v>
      </c>
      <c r="G572" s="9">
        <v>2</v>
      </c>
      <c r="H572">
        <v>4</v>
      </c>
    </row>
    <row r="573" spans="1:8" x14ac:dyDescent="0.3">
      <c r="A573" t="s">
        <v>577</v>
      </c>
      <c r="B573" s="4" t="d">
        <v>2026-07-26</v>
      </c>
      <c r="C573" t="s">
        <v>740</v>
      </c>
      <c r="D573" t="s">
        <v>746</v>
      </c>
      <c r="E573" t="s">
        <v>757</v>
      </c>
      <c r="F573" t="s">
        <v>747</v>
      </c>
      <c r="H573" t="s">
        <v>759</v>
      </c>
    </row>
    <row r="574" spans="1:8" x14ac:dyDescent="0.3">
      <c r="A574" t="s">
        <v>578</v>
      </c>
      <c r="B574" s="4" t="d">
        <v>2026-07-27</v>
      </c>
      <c r="C574" t="s">
        <v>766</v>
      </c>
      <c r="D574" t="s">
        <v>746</v>
      </c>
      <c r="E574" t="s">
        <v>756</v>
      </c>
      <c r="F574" t="s">
        <v>754</v>
      </c>
      <c r="H574" t="s">
        <v>759</v>
      </c>
    </row>
    <row r="575" spans="1:8" x14ac:dyDescent="0.3">
      <c r="A575" t="s">
        <v>579</v>
      </c>
      <c r="B575" s="4" t="d">
        <v>2026-07-28</v>
      </c>
      <c r="C575" t="s">
        <v>740</v>
      </c>
      <c r="D575" t="s">
        <v>746</v>
      </c>
      <c r="E575" t="s">
        <v>755</v>
      </c>
      <c r="F575" t="s">
        <v>749</v>
      </c>
      <c r="G575" s="9">
        <v>4</v>
      </c>
      <c r="H575">
        <v>3</v>
      </c>
    </row>
    <row r="576" spans="1:8" x14ac:dyDescent="0.3">
      <c r="A576" t="s">
        <v>580</v>
      </c>
      <c r="B576" s="4" t="d">
        <v>2026-07-29</v>
      </c>
      <c r="C576" t="s">
        <v>740</v>
      </c>
      <c r="D576" t="s">
        <v>746</v>
      </c>
      <c r="E576" t="s">
        <v>755</v>
      </c>
      <c r="F576" t="s">
        <v>750</v>
      </c>
      <c r="G576" s="9">
        <v>6</v>
      </c>
      <c r="H576">
        <v>4</v>
      </c>
    </row>
    <row r="577" spans="1:8" x14ac:dyDescent="0.3">
      <c r="A577" t="s">
        <v>581</v>
      </c>
      <c r="B577" s="4" t="d">
        <v>2026-07-30</v>
      </c>
      <c r="C577" t="s">
        <v>767</v>
      </c>
      <c r="D577" t="s">
        <v>746</v>
      </c>
      <c r="E577" t="s">
        <v>756</v>
      </c>
      <c r="F577" t="s">
        <v>752</v>
      </c>
      <c r="H577" t="s">
        <v>759</v>
      </c>
    </row>
    <row r="578" spans="1:8" x14ac:dyDescent="0.3">
      <c r="A578" t="s">
        <v>582</v>
      </c>
      <c r="B578" s="4" t="d">
        <v>2026-07-31</v>
      </c>
      <c r="C578" t="s">
        <v>765</v>
      </c>
      <c r="D578" t="s">
        <v>745</v>
      </c>
      <c r="E578" t="s">
        <v>758</v>
      </c>
      <c r="F578" t="s">
        <v>748</v>
      </c>
      <c r="H578" t="s">
        <v>759</v>
      </c>
    </row>
    <row r="579" spans="1:8" x14ac:dyDescent="0.3">
      <c r="A579" t="s">
        <v>583</v>
      </c>
      <c r="B579" s="4" t="d">
        <v>2026-08-01</v>
      </c>
      <c r="C579" t="s">
        <v>741</v>
      </c>
      <c r="D579" t="s">
        <v>746</v>
      </c>
      <c r="E579" t="s">
        <v>756</v>
      </c>
      <c r="F579" t="s">
        <v>752</v>
      </c>
      <c r="H579" t="s">
        <v>759</v>
      </c>
    </row>
    <row r="580" spans="1:8" x14ac:dyDescent="0.3">
      <c r="A580" t="s">
        <v>584</v>
      </c>
      <c r="B580" s="4" t="d">
        <v>2026-08-02</v>
      </c>
      <c r="C580" t="s">
        <v>767</v>
      </c>
      <c r="D580" t="s">
        <v>746</v>
      </c>
      <c r="E580" t="s">
        <v>755</v>
      </c>
      <c r="F580" t="s">
        <v>750</v>
      </c>
      <c r="G580" s="9">
        <v>8</v>
      </c>
      <c r="H580">
        <v>5</v>
      </c>
    </row>
    <row r="581" spans="1:8" x14ac:dyDescent="0.3">
      <c r="A581" t="s">
        <v>585</v>
      </c>
      <c r="B581" s="4" t="d">
        <v>2026-08-03</v>
      </c>
      <c r="C581" t="s">
        <v>766</v>
      </c>
      <c r="D581" t="s">
        <v>745</v>
      </c>
      <c r="E581" t="s">
        <v>756</v>
      </c>
      <c r="F581" t="s">
        <v>752</v>
      </c>
      <c r="H581" t="s">
        <v>759</v>
      </c>
    </row>
    <row r="582" spans="1:8" x14ac:dyDescent="0.3">
      <c r="A582" t="s">
        <v>586</v>
      </c>
      <c r="B582" s="4" t="d">
        <v>2026-08-04</v>
      </c>
      <c r="C582" t="s">
        <v>766</v>
      </c>
      <c r="D582" t="s">
        <v>746</v>
      </c>
      <c r="E582" t="s">
        <v>758</v>
      </c>
      <c r="F582" t="s">
        <v>748</v>
      </c>
      <c r="H582" t="s">
        <v>759</v>
      </c>
    </row>
    <row r="583" spans="1:8" x14ac:dyDescent="0.3">
      <c r="A583" t="s">
        <v>587</v>
      </c>
      <c r="B583" s="4" t="d">
        <v>2026-08-05</v>
      </c>
      <c r="C583" t="s">
        <v>765</v>
      </c>
      <c r="D583" t="s">
        <v>745</v>
      </c>
      <c r="E583" t="s">
        <v>756</v>
      </c>
      <c r="F583" t="s">
        <v>750</v>
      </c>
      <c r="H583" t="s">
        <v>759</v>
      </c>
    </row>
    <row r="584" spans="1:8" x14ac:dyDescent="0.3">
      <c r="A584" t="s">
        <v>588</v>
      </c>
      <c r="B584" s="4" t="d">
        <v>2026-08-06</v>
      </c>
      <c r="C584" t="s">
        <v>766</v>
      </c>
      <c r="D584" t="s">
        <v>745</v>
      </c>
      <c r="E584" t="s">
        <v>757</v>
      </c>
      <c r="F584" t="s">
        <v>752</v>
      </c>
      <c r="H584" t="s">
        <v>759</v>
      </c>
    </row>
    <row r="585" spans="1:8" x14ac:dyDescent="0.3">
      <c r="A585" t="s">
        <v>589</v>
      </c>
      <c r="B585" s="4" t="d">
        <v>2026-08-07</v>
      </c>
      <c r="C585" t="s">
        <v>740</v>
      </c>
      <c r="D585" t="s">
        <v>746</v>
      </c>
      <c r="E585" t="s">
        <v>755</v>
      </c>
      <c r="F585" t="s">
        <v>754</v>
      </c>
      <c r="G585" s="9">
        <v>3</v>
      </c>
      <c r="H585">
        <v>3</v>
      </c>
    </row>
    <row r="586" spans="1:8" x14ac:dyDescent="0.3">
      <c r="A586" t="s">
        <v>590</v>
      </c>
      <c r="B586" s="4" t="d">
        <v>2026-08-08</v>
      </c>
      <c r="C586" t="s">
        <v>740</v>
      </c>
      <c r="D586" t="s">
        <v>746</v>
      </c>
      <c r="E586" t="s">
        <v>757</v>
      </c>
      <c r="F586" t="s">
        <v>748</v>
      </c>
      <c r="H586" t="s">
        <v>759</v>
      </c>
    </row>
    <row r="587" spans="1:8" x14ac:dyDescent="0.3">
      <c r="A587" t="s">
        <v>591</v>
      </c>
      <c r="B587" s="4" t="d">
        <v>2026-08-09</v>
      </c>
      <c r="C587" t="s">
        <v>740</v>
      </c>
      <c r="D587" t="s">
        <v>746</v>
      </c>
      <c r="E587" t="s">
        <v>755</v>
      </c>
      <c r="F587" t="s">
        <v>750</v>
      </c>
      <c r="G587" s="9">
        <v>4</v>
      </c>
      <c r="H587">
        <v>3</v>
      </c>
    </row>
    <row r="588" spans="1:8" x14ac:dyDescent="0.3">
      <c r="A588" t="s">
        <v>592</v>
      </c>
      <c r="B588" s="4" t="d">
        <v>2026-08-10</v>
      </c>
      <c r="C588" t="s">
        <v>765</v>
      </c>
      <c r="D588" t="s">
        <v>745</v>
      </c>
      <c r="E588" t="s">
        <v>755</v>
      </c>
      <c r="F588" t="s">
        <v>752</v>
      </c>
      <c r="G588" s="9">
        <v>3</v>
      </c>
      <c r="H588">
        <v>3</v>
      </c>
    </row>
    <row r="589" spans="1:8" x14ac:dyDescent="0.3">
      <c r="A589" t="s">
        <v>593</v>
      </c>
      <c r="B589" s="4" t="d">
        <v>2026-08-11</v>
      </c>
      <c r="C589" t="s">
        <v>767</v>
      </c>
      <c r="D589" t="s">
        <v>746</v>
      </c>
      <c r="E589" t="s">
        <v>757</v>
      </c>
      <c r="F589" t="s">
        <v>751</v>
      </c>
      <c r="H589" t="s">
        <v>759</v>
      </c>
    </row>
    <row r="590" spans="1:8" x14ac:dyDescent="0.3">
      <c r="A590" t="s">
        <v>594</v>
      </c>
      <c r="B590" s="4" t="d">
        <v>2026-08-12</v>
      </c>
      <c r="C590" t="s">
        <v>741</v>
      </c>
      <c r="D590" t="s">
        <v>745</v>
      </c>
      <c r="E590" t="s">
        <v>755</v>
      </c>
      <c r="F590" t="s">
        <v>747</v>
      </c>
      <c r="G590" s="9">
        <v>42</v>
      </c>
      <c r="H590">
        <v>5</v>
      </c>
    </row>
    <row r="591" spans="1:8" x14ac:dyDescent="0.3">
      <c r="A591" t="s">
        <v>595</v>
      </c>
      <c r="B591" s="4" t="d">
        <v>2026-08-13</v>
      </c>
      <c r="C591" t="s">
        <v>767</v>
      </c>
      <c r="D591" t="s">
        <v>746</v>
      </c>
      <c r="E591" t="s">
        <v>756</v>
      </c>
      <c r="F591" t="s">
        <v>754</v>
      </c>
      <c r="H591" t="s">
        <v>759</v>
      </c>
    </row>
    <row r="592" spans="1:8" x14ac:dyDescent="0.3">
      <c r="A592" t="s">
        <v>596</v>
      </c>
      <c r="B592" s="4" t="d">
        <v>2026-08-14</v>
      </c>
      <c r="C592" t="s">
        <v>766</v>
      </c>
      <c r="D592" t="s">
        <v>745</v>
      </c>
      <c r="E592" t="s">
        <v>756</v>
      </c>
      <c r="F592" t="s">
        <v>748</v>
      </c>
      <c r="H592" t="s">
        <v>759</v>
      </c>
    </row>
    <row r="593" spans="1:8" x14ac:dyDescent="0.3">
      <c r="A593" t="s">
        <v>597</v>
      </c>
      <c r="B593" s="4" t="d">
        <v>2026-08-15</v>
      </c>
      <c r="C593" t="s">
        <v>740</v>
      </c>
      <c r="D593" t="s">
        <v>746</v>
      </c>
      <c r="E593" t="s">
        <v>758</v>
      </c>
      <c r="F593" t="s">
        <v>749</v>
      </c>
      <c r="H593" t="s">
        <v>759</v>
      </c>
    </row>
    <row r="594" spans="1:8" x14ac:dyDescent="0.3">
      <c r="A594" t="s">
        <v>598</v>
      </c>
      <c r="B594" s="4" t="d">
        <v>2026-08-16</v>
      </c>
      <c r="C594" t="s">
        <v>765</v>
      </c>
      <c r="D594" t="s">
        <v>745</v>
      </c>
      <c r="E594" t="s">
        <v>758</v>
      </c>
      <c r="F594" t="s">
        <v>752</v>
      </c>
      <c r="H594" t="s">
        <v>759</v>
      </c>
    </row>
    <row r="595" spans="1:8" x14ac:dyDescent="0.3">
      <c r="A595" t="s">
        <v>599</v>
      </c>
      <c r="B595" s="4" t="d">
        <v>2026-08-17</v>
      </c>
      <c r="C595" t="s">
        <v>767</v>
      </c>
      <c r="D595" t="s">
        <v>746</v>
      </c>
      <c r="E595" t="s">
        <v>755</v>
      </c>
      <c r="F595" t="s">
        <v>753</v>
      </c>
      <c r="G595" s="9">
        <v>15</v>
      </c>
      <c r="H595">
        <v>4</v>
      </c>
    </row>
    <row r="596" spans="1:8" x14ac:dyDescent="0.3">
      <c r="A596" t="s">
        <v>600</v>
      </c>
      <c r="B596" s="4" t="d">
        <v>2026-08-18</v>
      </c>
      <c r="C596" t="s">
        <v>767</v>
      </c>
      <c r="D596" t="s">
        <v>746</v>
      </c>
      <c r="E596" t="s">
        <v>757</v>
      </c>
      <c r="F596" t="s">
        <v>748</v>
      </c>
      <c r="H596" t="s">
        <v>759</v>
      </c>
    </row>
    <row r="597" spans="1:8" x14ac:dyDescent="0.3">
      <c r="A597" t="s">
        <v>601</v>
      </c>
      <c r="B597" s="4" t="d">
        <v>2026-08-19</v>
      </c>
      <c r="C597" t="s">
        <v>767</v>
      </c>
      <c r="D597" t="s">
        <v>746</v>
      </c>
      <c r="E597" t="s">
        <v>758</v>
      </c>
      <c r="F597" t="s">
        <v>748</v>
      </c>
      <c r="H597" t="s">
        <v>759</v>
      </c>
    </row>
    <row r="598" spans="1:8" x14ac:dyDescent="0.3">
      <c r="A598" t="s">
        <v>602</v>
      </c>
      <c r="B598" s="4" t="d">
        <v>2026-08-20</v>
      </c>
      <c r="C598" t="s">
        <v>741</v>
      </c>
      <c r="D598" t="s">
        <v>745</v>
      </c>
      <c r="E598" t="s">
        <v>756</v>
      </c>
      <c r="F598" t="s">
        <v>752</v>
      </c>
      <c r="H598" t="s">
        <v>759</v>
      </c>
    </row>
    <row r="599" spans="1:8" x14ac:dyDescent="0.3">
      <c r="A599" t="s">
        <v>603</v>
      </c>
      <c r="B599" s="4" t="d">
        <v>2026-08-21</v>
      </c>
      <c r="C599" t="s">
        <v>765</v>
      </c>
      <c r="D599" t="s">
        <v>745</v>
      </c>
      <c r="E599" t="s">
        <v>758</v>
      </c>
      <c r="F599" t="s">
        <v>753</v>
      </c>
      <c r="H599" t="s">
        <v>759</v>
      </c>
    </row>
    <row r="600" spans="1:8" x14ac:dyDescent="0.3">
      <c r="A600" t="s">
        <v>604</v>
      </c>
      <c r="B600" s="4" t="d">
        <v>2026-08-22</v>
      </c>
      <c r="C600" t="s">
        <v>765</v>
      </c>
      <c r="D600" t="s">
        <v>745</v>
      </c>
      <c r="E600" t="s">
        <v>756</v>
      </c>
      <c r="F600" t="s">
        <v>748</v>
      </c>
      <c r="H600" t="s">
        <v>759</v>
      </c>
    </row>
    <row r="601" spans="1:8" x14ac:dyDescent="0.3">
      <c r="A601" t="s">
        <v>605</v>
      </c>
      <c r="B601" s="4" t="d">
        <v>2026-08-23</v>
      </c>
      <c r="C601" t="s">
        <v>740</v>
      </c>
      <c r="D601" t="s">
        <v>746</v>
      </c>
      <c r="E601" t="s">
        <v>757</v>
      </c>
      <c r="F601" t="s">
        <v>752</v>
      </c>
      <c r="H601" t="s">
        <v>759</v>
      </c>
    </row>
    <row r="602" spans="1:8" x14ac:dyDescent="0.3">
      <c r="A602" t="s">
        <v>606</v>
      </c>
      <c r="B602" s="4" t="d">
        <v>2026-08-24</v>
      </c>
      <c r="C602" t="s">
        <v>741</v>
      </c>
      <c r="D602" t="s">
        <v>746</v>
      </c>
      <c r="E602" t="s">
        <v>757</v>
      </c>
      <c r="F602" t="s">
        <v>750</v>
      </c>
      <c r="H602" t="s">
        <v>759</v>
      </c>
    </row>
    <row r="603" spans="1:8" x14ac:dyDescent="0.3">
      <c r="A603" t="s">
        <v>607</v>
      </c>
      <c r="B603" s="4" t="d">
        <v>2026-08-25</v>
      </c>
      <c r="C603" t="s">
        <v>765</v>
      </c>
      <c r="D603" t="s">
        <v>745</v>
      </c>
      <c r="E603" t="s">
        <v>756</v>
      </c>
      <c r="F603" t="s">
        <v>753</v>
      </c>
      <c r="H603" t="s">
        <v>759</v>
      </c>
    </row>
    <row r="604" spans="1:8" x14ac:dyDescent="0.3">
      <c r="A604" t="s">
        <v>608</v>
      </c>
      <c r="B604" s="4" t="d">
        <v>2026-08-26</v>
      </c>
      <c r="C604" t="s">
        <v>740</v>
      </c>
      <c r="D604" t="s">
        <v>746</v>
      </c>
      <c r="E604" t="s">
        <v>755</v>
      </c>
      <c r="F604" t="s">
        <v>748</v>
      </c>
      <c r="G604" s="9">
        <v>7</v>
      </c>
      <c r="H604">
        <v>4</v>
      </c>
    </row>
    <row r="605" spans="1:8" x14ac:dyDescent="0.3">
      <c r="A605" t="s">
        <v>609</v>
      </c>
      <c r="B605" s="4" t="d">
        <v>2026-08-27</v>
      </c>
      <c r="C605" t="s">
        <v>767</v>
      </c>
      <c r="D605" t="s">
        <v>746</v>
      </c>
      <c r="E605" t="s">
        <v>757</v>
      </c>
      <c r="F605" t="s">
        <v>753</v>
      </c>
      <c r="H605" t="s">
        <v>759</v>
      </c>
    </row>
    <row r="606" spans="1:8" x14ac:dyDescent="0.3">
      <c r="A606" t="s">
        <v>610</v>
      </c>
      <c r="B606" s="4" t="d">
        <v>2026-08-28</v>
      </c>
      <c r="C606" t="s">
        <v>767</v>
      </c>
      <c r="D606" t="s">
        <v>746</v>
      </c>
      <c r="E606" t="s">
        <v>756</v>
      </c>
      <c r="F606" t="s">
        <v>748</v>
      </c>
      <c r="H606" t="s">
        <v>759</v>
      </c>
    </row>
    <row r="607" spans="1:8" x14ac:dyDescent="0.3">
      <c r="A607" t="s">
        <v>611</v>
      </c>
      <c r="B607" s="4" t="d">
        <v>2026-08-29</v>
      </c>
      <c r="C607" t="s">
        <v>740</v>
      </c>
      <c r="D607" t="s">
        <v>746</v>
      </c>
      <c r="E607" t="s">
        <v>755</v>
      </c>
      <c r="F607" t="s">
        <v>754</v>
      </c>
      <c r="G607" s="9">
        <v>5</v>
      </c>
      <c r="H607">
        <v>4</v>
      </c>
    </row>
    <row r="608" spans="1:8" x14ac:dyDescent="0.3">
      <c r="A608" t="s">
        <v>612</v>
      </c>
      <c r="B608" s="4" t="d">
        <v>2026-08-30</v>
      </c>
      <c r="C608" t="s">
        <v>741</v>
      </c>
      <c r="D608" t="s">
        <v>745</v>
      </c>
      <c r="E608" t="s">
        <v>755</v>
      </c>
      <c r="F608" t="s">
        <v>748</v>
      </c>
      <c r="G608" s="9">
        <v>33</v>
      </c>
      <c r="H608">
        <v>5</v>
      </c>
    </row>
    <row r="609" spans="1:8" x14ac:dyDescent="0.3">
      <c r="A609" t="s">
        <v>613</v>
      </c>
      <c r="B609" s="4" t="d">
        <v>2026-08-31</v>
      </c>
      <c r="C609" t="s">
        <v>766</v>
      </c>
      <c r="D609" t="s">
        <v>745</v>
      </c>
      <c r="E609" t="s">
        <v>755</v>
      </c>
      <c r="F609" t="s">
        <v>753</v>
      </c>
      <c r="G609" s="9">
        <v>38</v>
      </c>
      <c r="H609">
        <v>4</v>
      </c>
    </row>
    <row r="610" spans="1:8" x14ac:dyDescent="0.3">
      <c r="A610" t="s">
        <v>614</v>
      </c>
      <c r="B610" s="4" t="d">
        <v>2026-09-01</v>
      </c>
      <c r="C610" t="s">
        <v>766</v>
      </c>
      <c r="D610" t="s">
        <v>745</v>
      </c>
      <c r="E610" t="s">
        <v>755</v>
      </c>
      <c r="F610" t="s">
        <v>747</v>
      </c>
      <c r="G610" s="9">
        <v>35</v>
      </c>
      <c r="H610">
        <v>4</v>
      </c>
    </row>
    <row r="611" spans="1:8" x14ac:dyDescent="0.3">
      <c r="A611" t="s">
        <v>615</v>
      </c>
      <c r="B611" s="4" t="d">
        <v>2026-09-02</v>
      </c>
      <c r="C611" t="s">
        <v>766</v>
      </c>
      <c r="D611" t="s">
        <v>745</v>
      </c>
      <c r="E611" t="s">
        <v>758</v>
      </c>
      <c r="F611" t="s">
        <v>751</v>
      </c>
      <c r="H611" t="s">
        <v>759</v>
      </c>
    </row>
    <row r="612" spans="1:8" x14ac:dyDescent="0.3">
      <c r="A612" t="s">
        <v>616</v>
      </c>
      <c r="B612" s="4" t="d">
        <v>2026-09-03</v>
      </c>
      <c r="C612" t="s">
        <v>765</v>
      </c>
      <c r="D612" t="s">
        <v>745</v>
      </c>
      <c r="E612" t="s">
        <v>755</v>
      </c>
      <c r="F612" t="s">
        <v>747</v>
      </c>
      <c r="G612" s="9">
        <v>6</v>
      </c>
      <c r="H612">
        <v>4</v>
      </c>
    </row>
    <row r="613" spans="1:8" x14ac:dyDescent="0.3">
      <c r="A613" t="s">
        <v>617</v>
      </c>
      <c r="B613" s="4" t="d">
        <v>2026-09-04</v>
      </c>
      <c r="C613" t="s">
        <v>741</v>
      </c>
      <c r="D613" t="s">
        <v>746</v>
      </c>
      <c r="E613" t="s">
        <v>757</v>
      </c>
      <c r="F613" t="s">
        <v>753</v>
      </c>
      <c r="H613" t="s">
        <v>759</v>
      </c>
    </row>
    <row r="614" spans="1:8" x14ac:dyDescent="0.3">
      <c r="A614" t="s">
        <v>618</v>
      </c>
      <c r="B614" s="4" t="d">
        <v>2026-09-05</v>
      </c>
      <c r="C614" t="s">
        <v>740</v>
      </c>
      <c r="D614" t="s">
        <v>746</v>
      </c>
      <c r="E614" t="s">
        <v>755</v>
      </c>
      <c r="F614" t="s">
        <v>754</v>
      </c>
      <c r="G614" s="9">
        <v>5</v>
      </c>
      <c r="H614">
        <v>3</v>
      </c>
    </row>
    <row r="615" spans="1:8" x14ac:dyDescent="0.3">
      <c r="A615" t="s">
        <v>619</v>
      </c>
      <c r="B615" s="4" t="d">
        <v>2026-09-06</v>
      </c>
      <c r="C615" t="s">
        <v>740</v>
      </c>
      <c r="D615" t="s">
        <v>746</v>
      </c>
      <c r="E615" t="s">
        <v>757</v>
      </c>
      <c r="F615" t="s">
        <v>752</v>
      </c>
      <c r="H615" t="s">
        <v>759</v>
      </c>
    </row>
    <row r="616" spans="1:8" x14ac:dyDescent="0.3">
      <c r="A616" t="s">
        <v>620</v>
      </c>
      <c r="B616" s="4" t="d">
        <v>2026-09-07</v>
      </c>
      <c r="C616" t="s">
        <v>767</v>
      </c>
      <c r="D616" t="s">
        <v>746</v>
      </c>
      <c r="E616" t="s">
        <v>758</v>
      </c>
      <c r="F616" t="s">
        <v>754</v>
      </c>
      <c r="H616" t="s">
        <v>759</v>
      </c>
    </row>
    <row r="617" spans="1:8" x14ac:dyDescent="0.3">
      <c r="A617" t="s">
        <v>621</v>
      </c>
      <c r="B617" s="4" t="d">
        <v>2026-09-08</v>
      </c>
      <c r="C617" t="s">
        <v>767</v>
      </c>
      <c r="D617" t="s">
        <v>746</v>
      </c>
      <c r="E617" t="s">
        <v>758</v>
      </c>
      <c r="F617" t="s">
        <v>748</v>
      </c>
      <c r="H617" t="s">
        <v>759</v>
      </c>
    </row>
    <row r="618" spans="1:8" x14ac:dyDescent="0.3">
      <c r="A618" t="s">
        <v>622</v>
      </c>
      <c r="B618" s="4" t="d">
        <v>2026-09-09</v>
      </c>
      <c r="C618" t="s">
        <v>765</v>
      </c>
      <c r="D618" t="s">
        <v>745</v>
      </c>
      <c r="E618" t="s">
        <v>755</v>
      </c>
      <c r="F618" t="s">
        <v>748</v>
      </c>
      <c r="G618" s="9">
        <v>6</v>
      </c>
      <c r="H618">
        <v>3</v>
      </c>
    </row>
    <row r="619" spans="1:8" x14ac:dyDescent="0.3">
      <c r="A619" t="s">
        <v>623</v>
      </c>
      <c r="B619" s="4" t="d">
        <v>2026-09-10</v>
      </c>
      <c r="C619" t="s">
        <v>741</v>
      </c>
      <c r="D619" t="s">
        <v>746</v>
      </c>
      <c r="E619" t="s">
        <v>756</v>
      </c>
      <c r="F619" t="s">
        <v>747</v>
      </c>
      <c r="H619" t="s">
        <v>759</v>
      </c>
    </row>
    <row r="620" spans="1:8" x14ac:dyDescent="0.3">
      <c r="A620" t="s">
        <v>624</v>
      </c>
      <c r="B620" s="4" t="d">
        <v>2026-09-11</v>
      </c>
      <c r="C620" t="s">
        <v>765</v>
      </c>
      <c r="D620" t="s">
        <v>745</v>
      </c>
      <c r="E620" t="s">
        <v>757</v>
      </c>
      <c r="F620" t="s">
        <v>754</v>
      </c>
      <c r="H620" t="s">
        <v>759</v>
      </c>
    </row>
    <row r="621" spans="1:8" x14ac:dyDescent="0.3">
      <c r="A621" t="s">
        <v>625</v>
      </c>
      <c r="B621" s="4" t="d">
        <v>2026-09-12</v>
      </c>
      <c r="C621" t="s">
        <v>766</v>
      </c>
      <c r="D621" t="s">
        <v>745</v>
      </c>
      <c r="E621" t="s">
        <v>755</v>
      </c>
      <c r="F621" t="s">
        <v>753</v>
      </c>
      <c r="G621" s="9">
        <v>25</v>
      </c>
      <c r="H621">
        <v>5</v>
      </c>
    </row>
    <row r="622" spans="1:8" x14ac:dyDescent="0.3">
      <c r="A622" t="s">
        <v>626</v>
      </c>
      <c r="B622" s="4" t="d">
        <v>2026-09-13</v>
      </c>
      <c r="C622" t="s">
        <v>765</v>
      </c>
      <c r="D622" t="s">
        <v>745</v>
      </c>
      <c r="E622" t="s">
        <v>758</v>
      </c>
      <c r="F622" t="s">
        <v>750</v>
      </c>
      <c r="H622" t="s">
        <v>759</v>
      </c>
    </row>
    <row r="623" spans="1:8" x14ac:dyDescent="0.3">
      <c r="A623" t="s">
        <v>627</v>
      </c>
      <c r="B623" s="4" t="d">
        <v>2026-09-14</v>
      </c>
      <c r="C623" t="s">
        <v>741</v>
      </c>
      <c r="D623" t="s">
        <v>745</v>
      </c>
      <c r="E623" t="s">
        <v>756</v>
      </c>
      <c r="F623" t="s">
        <v>749</v>
      </c>
      <c r="H623" t="s">
        <v>759</v>
      </c>
    </row>
    <row r="624" spans="1:8" x14ac:dyDescent="0.3">
      <c r="A624" t="s">
        <v>628</v>
      </c>
      <c r="B624" s="4" t="d">
        <v>2026-09-15</v>
      </c>
      <c r="C624" t="s">
        <v>765</v>
      </c>
      <c r="D624" t="s">
        <v>745</v>
      </c>
      <c r="E624" t="s">
        <v>756</v>
      </c>
      <c r="F624" t="s">
        <v>749</v>
      </c>
      <c r="H624" t="s">
        <v>759</v>
      </c>
    </row>
    <row r="625" spans="1:8" x14ac:dyDescent="0.3">
      <c r="A625" t="s">
        <v>629</v>
      </c>
      <c r="B625" s="4" t="d">
        <v>2026-09-16</v>
      </c>
      <c r="C625" t="s">
        <v>765</v>
      </c>
      <c r="D625" t="s">
        <v>745</v>
      </c>
      <c r="E625" t="s">
        <v>756</v>
      </c>
      <c r="F625" t="s">
        <v>751</v>
      </c>
      <c r="H625" t="s">
        <v>759</v>
      </c>
    </row>
    <row r="626" spans="1:8" x14ac:dyDescent="0.3">
      <c r="A626" t="s">
        <v>630</v>
      </c>
      <c r="B626" s="4" t="d">
        <v>2026-09-17</v>
      </c>
      <c r="C626" t="s">
        <v>740</v>
      </c>
      <c r="D626" t="s">
        <v>746</v>
      </c>
      <c r="E626" t="s">
        <v>755</v>
      </c>
      <c r="F626" t="s">
        <v>754</v>
      </c>
      <c r="G626" s="9">
        <v>3</v>
      </c>
      <c r="H626">
        <v>4</v>
      </c>
    </row>
    <row r="627" spans="1:8" x14ac:dyDescent="0.3">
      <c r="A627" t="s">
        <v>631</v>
      </c>
      <c r="B627" s="4" t="d">
        <v>2026-09-18</v>
      </c>
      <c r="C627" t="s">
        <v>741</v>
      </c>
      <c r="D627" t="s">
        <v>746</v>
      </c>
      <c r="E627" t="s">
        <v>756</v>
      </c>
      <c r="F627" t="s">
        <v>753</v>
      </c>
      <c r="H627" t="s">
        <v>759</v>
      </c>
    </row>
    <row r="628" spans="1:8" x14ac:dyDescent="0.3">
      <c r="A628" t="s">
        <v>632</v>
      </c>
      <c r="B628" s="4" t="d">
        <v>2026-09-19</v>
      </c>
      <c r="C628" t="s">
        <v>740</v>
      </c>
      <c r="D628" t="s">
        <v>746</v>
      </c>
      <c r="E628" t="s">
        <v>756</v>
      </c>
      <c r="F628" t="s">
        <v>754</v>
      </c>
      <c r="H628" t="s">
        <v>759</v>
      </c>
    </row>
    <row r="629" spans="1:8" x14ac:dyDescent="0.3">
      <c r="A629" t="s">
        <v>633</v>
      </c>
      <c r="B629" s="4" t="d">
        <v>2026-09-20</v>
      </c>
      <c r="C629" t="s">
        <v>740</v>
      </c>
      <c r="D629" t="s">
        <v>746</v>
      </c>
      <c r="E629" t="s">
        <v>758</v>
      </c>
      <c r="F629" t="s">
        <v>748</v>
      </c>
      <c r="H629" t="s">
        <v>759</v>
      </c>
    </row>
    <row r="630" spans="1:8" x14ac:dyDescent="0.3">
      <c r="A630" t="s">
        <v>634</v>
      </c>
      <c r="B630" s="4" t="d">
        <v>2026-09-21</v>
      </c>
      <c r="C630" t="s">
        <v>740</v>
      </c>
      <c r="D630" t="s">
        <v>746</v>
      </c>
      <c r="E630" t="s">
        <v>756</v>
      </c>
      <c r="F630" t="s">
        <v>753</v>
      </c>
      <c r="H630" t="s">
        <v>759</v>
      </c>
    </row>
    <row r="631" spans="1:8" x14ac:dyDescent="0.3">
      <c r="A631" t="s">
        <v>635</v>
      </c>
      <c r="B631" s="4" t="d">
        <v>2026-09-22</v>
      </c>
      <c r="C631" t="s">
        <v>741</v>
      </c>
      <c r="D631" t="s">
        <v>745</v>
      </c>
      <c r="E631" t="s">
        <v>756</v>
      </c>
      <c r="F631" t="s">
        <v>754</v>
      </c>
      <c r="H631" t="s">
        <v>759</v>
      </c>
    </row>
    <row r="632" spans="1:8" x14ac:dyDescent="0.3">
      <c r="A632" t="s">
        <v>636</v>
      </c>
      <c r="B632" s="4" t="d">
        <v>2026-09-23</v>
      </c>
      <c r="C632" t="s">
        <v>765</v>
      </c>
      <c r="D632" t="s">
        <v>745</v>
      </c>
      <c r="E632" t="s">
        <v>757</v>
      </c>
      <c r="F632" t="s">
        <v>749</v>
      </c>
      <c r="H632" t="s">
        <v>759</v>
      </c>
    </row>
    <row r="633" spans="1:8" x14ac:dyDescent="0.3">
      <c r="A633" t="s">
        <v>637</v>
      </c>
      <c r="B633" s="4" t="d">
        <v>2026-09-24</v>
      </c>
      <c r="C633" t="s">
        <v>741</v>
      </c>
      <c r="D633" t="s">
        <v>746</v>
      </c>
      <c r="E633" t="s">
        <v>758</v>
      </c>
      <c r="F633" t="s">
        <v>750</v>
      </c>
      <c r="H633" t="s">
        <v>759</v>
      </c>
    </row>
    <row r="634" spans="1:8" x14ac:dyDescent="0.3">
      <c r="A634" t="s">
        <v>638</v>
      </c>
      <c r="B634" s="4" t="d">
        <v>2026-09-25</v>
      </c>
      <c r="C634" t="s">
        <v>765</v>
      </c>
      <c r="D634" t="s">
        <v>745</v>
      </c>
      <c r="E634" t="s">
        <v>755</v>
      </c>
      <c r="F634" t="s">
        <v>750</v>
      </c>
      <c r="G634" s="9">
        <v>7</v>
      </c>
      <c r="H634">
        <v>4</v>
      </c>
    </row>
    <row r="635" spans="1:8" x14ac:dyDescent="0.3">
      <c r="A635" t="s">
        <v>639</v>
      </c>
      <c r="B635" s="4" t="d">
        <v>2026-09-26</v>
      </c>
      <c r="C635" t="s">
        <v>766</v>
      </c>
      <c r="D635" t="s">
        <v>745</v>
      </c>
      <c r="E635" t="s">
        <v>755</v>
      </c>
      <c r="F635" t="s">
        <v>750</v>
      </c>
      <c r="G635" s="9">
        <v>19</v>
      </c>
      <c r="H635">
        <v>5</v>
      </c>
    </row>
    <row r="636" spans="1:8" x14ac:dyDescent="0.3">
      <c r="A636" t="s">
        <v>640</v>
      </c>
      <c r="B636" s="4" t="d">
        <v>2026-09-27</v>
      </c>
      <c r="C636" t="s">
        <v>767</v>
      </c>
      <c r="D636" t="s">
        <v>746</v>
      </c>
      <c r="E636" t="s">
        <v>756</v>
      </c>
      <c r="F636" t="s">
        <v>749</v>
      </c>
      <c r="H636" t="s">
        <v>759</v>
      </c>
    </row>
    <row r="637" spans="1:8" x14ac:dyDescent="0.3">
      <c r="A637" t="s">
        <v>641</v>
      </c>
      <c r="B637" s="4" t="d">
        <v>2026-09-28</v>
      </c>
      <c r="C637" t="s">
        <v>767</v>
      </c>
      <c r="D637" t="s">
        <v>746</v>
      </c>
      <c r="E637" t="s">
        <v>758</v>
      </c>
      <c r="F637" t="s">
        <v>754</v>
      </c>
      <c r="H637" t="s">
        <v>759</v>
      </c>
    </row>
    <row r="638" spans="1:8" x14ac:dyDescent="0.3">
      <c r="A638" t="s">
        <v>642</v>
      </c>
      <c r="B638" s="4" t="d">
        <v>2026-09-29</v>
      </c>
      <c r="C638" t="s">
        <v>740</v>
      </c>
      <c r="D638" t="s">
        <v>746</v>
      </c>
      <c r="E638" t="s">
        <v>758</v>
      </c>
      <c r="F638" t="s">
        <v>753</v>
      </c>
      <c r="H638" t="s">
        <v>759</v>
      </c>
    </row>
    <row r="639" spans="1:8" x14ac:dyDescent="0.3">
      <c r="A639" t="s">
        <v>643</v>
      </c>
      <c r="B639" s="4" t="d">
        <v>2026-09-30</v>
      </c>
      <c r="C639" t="s">
        <v>741</v>
      </c>
      <c r="D639" t="s">
        <v>746</v>
      </c>
      <c r="E639" t="s">
        <v>755</v>
      </c>
      <c r="F639" t="s">
        <v>754</v>
      </c>
      <c r="G639" s="9">
        <v>17</v>
      </c>
      <c r="H639">
        <v>5</v>
      </c>
    </row>
    <row r="640" spans="1:8" x14ac:dyDescent="0.3">
      <c r="A640" t="s">
        <v>644</v>
      </c>
      <c r="B640" s="4" t="d">
        <v>2026-10-01</v>
      </c>
      <c r="C640" t="s">
        <v>766</v>
      </c>
      <c r="D640" t="s">
        <v>746</v>
      </c>
      <c r="E640" t="s">
        <v>755</v>
      </c>
      <c r="F640" t="s">
        <v>750</v>
      </c>
      <c r="G640" s="9">
        <v>12</v>
      </c>
      <c r="H640">
        <v>4</v>
      </c>
    </row>
    <row r="641" spans="1:8" x14ac:dyDescent="0.3">
      <c r="A641" t="s">
        <v>645</v>
      </c>
      <c r="B641" s="4" t="d">
        <v>2026-10-02</v>
      </c>
      <c r="C641" t="s">
        <v>740</v>
      </c>
      <c r="D641" t="s">
        <v>746</v>
      </c>
      <c r="E641" t="s">
        <v>758</v>
      </c>
      <c r="F641" t="s">
        <v>748</v>
      </c>
      <c r="H641" t="s">
        <v>759</v>
      </c>
    </row>
    <row r="642" spans="1:8" x14ac:dyDescent="0.3">
      <c r="A642" t="s">
        <v>646</v>
      </c>
      <c r="B642" s="4" t="d">
        <v>2026-10-03</v>
      </c>
      <c r="C642" t="s">
        <v>741</v>
      </c>
      <c r="D642" t="s">
        <v>745</v>
      </c>
      <c r="E642" t="s">
        <v>755</v>
      </c>
      <c r="F642" t="s">
        <v>750</v>
      </c>
      <c r="G642" s="9">
        <v>16</v>
      </c>
      <c r="H642">
        <v>4</v>
      </c>
    </row>
    <row r="643" spans="1:8" x14ac:dyDescent="0.3">
      <c r="A643" t="s">
        <v>647</v>
      </c>
      <c r="B643" s="4" t="d">
        <v>2026-10-04</v>
      </c>
      <c r="C643" t="s">
        <v>740</v>
      </c>
      <c r="D643" t="s">
        <v>746</v>
      </c>
      <c r="E643" t="s">
        <v>756</v>
      </c>
      <c r="F643" t="s">
        <v>748</v>
      </c>
      <c r="H643" t="s">
        <v>759</v>
      </c>
    </row>
    <row r="644" spans="1:8" x14ac:dyDescent="0.3">
      <c r="A644" t="s">
        <v>648</v>
      </c>
      <c r="B644" s="4" t="d">
        <v>2026-10-05</v>
      </c>
      <c r="C644" t="s">
        <v>741</v>
      </c>
      <c r="D644" t="s">
        <v>746</v>
      </c>
      <c r="E644" t="s">
        <v>755</v>
      </c>
      <c r="F644" t="s">
        <v>751</v>
      </c>
      <c r="G644" s="9">
        <v>41</v>
      </c>
      <c r="H644">
        <v>5</v>
      </c>
    </row>
    <row r="645" spans="1:8" x14ac:dyDescent="0.3">
      <c r="A645" t="s">
        <v>649</v>
      </c>
      <c r="B645" s="4" t="d">
        <v>2026-10-06</v>
      </c>
      <c r="C645" t="s">
        <v>767</v>
      </c>
      <c r="D645" t="s">
        <v>746</v>
      </c>
      <c r="E645" t="s">
        <v>755</v>
      </c>
      <c r="F645" t="s">
        <v>748</v>
      </c>
      <c r="G645" s="9">
        <v>5</v>
      </c>
      <c r="H645">
        <v>5</v>
      </c>
    </row>
    <row r="646" spans="1:8" x14ac:dyDescent="0.3">
      <c r="A646" t="s">
        <v>650</v>
      </c>
      <c r="B646" s="4" t="d">
        <v>2026-10-07</v>
      </c>
      <c r="C646" t="s">
        <v>766</v>
      </c>
      <c r="D646" t="s">
        <v>745</v>
      </c>
      <c r="E646" t="s">
        <v>757</v>
      </c>
      <c r="F646" t="s">
        <v>751</v>
      </c>
      <c r="H646" t="s">
        <v>759</v>
      </c>
    </row>
    <row r="647" spans="1:8" x14ac:dyDescent="0.3">
      <c r="A647" t="s">
        <v>651</v>
      </c>
      <c r="B647" s="4" t="d">
        <v>2026-10-08</v>
      </c>
      <c r="C647" t="s">
        <v>766</v>
      </c>
      <c r="D647" t="s">
        <v>745</v>
      </c>
      <c r="E647" t="s">
        <v>755</v>
      </c>
      <c r="F647" t="s">
        <v>750</v>
      </c>
      <c r="G647" s="9">
        <v>28</v>
      </c>
      <c r="H647">
        <v>5</v>
      </c>
    </row>
    <row r="648" spans="1:8" x14ac:dyDescent="0.3">
      <c r="A648" t="s">
        <v>652</v>
      </c>
      <c r="B648" s="4" t="d">
        <v>2026-10-09</v>
      </c>
      <c r="C648" t="s">
        <v>740</v>
      </c>
      <c r="D648" t="s">
        <v>746</v>
      </c>
      <c r="E648" t="s">
        <v>756</v>
      </c>
      <c r="F648" t="s">
        <v>751</v>
      </c>
      <c r="H648" t="s">
        <v>759</v>
      </c>
    </row>
    <row r="649" spans="1:8" x14ac:dyDescent="0.3">
      <c r="A649" t="s">
        <v>653</v>
      </c>
      <c r="B649" s="4" t="d">
        <v>2026-10-10</v>
      </c>
      <c r="C649" t="s">
        <v>766</v>
      </c>
      <c r="D649" t="s">
        <v>746</v>
      </c>
      <c r="E649" t="s">
        <v>758</v>
      </c>
      <c r="F649" t="s">
        <v>752</v>
      </c>
      <c r="H649" t="s">
        <v>759</v>
      </c>
    </row>
    <row r="650" spans="1:8" x14ac:dyDescent="0.3">
      <c r="A650" t="s">
        <v>654</v>
      </c>
      <c r="B650" s="4" t="d">
        <v>2026-10-11</v>
      </c>
      <c r="C650" t="s">
        <v>766</v>
      </c>
      <c r="D650" t="s">
        <v>745</v>
      </c>
      <c r="E650" t="s">
        <v>757</v>
      </c>
      <c r="F650" t="s">
        <v>750</v>
      </c>
      <c r="H650" t="s">
        <v>759</v>
      </c>
    </row>
    <row r="651" spans="1:8" x14ac:dyDescent="0.3">
      <c r="A651" t="s">
        <v>655</v>
      </c>
      <c r="B651" s="4" t="d">
        <v>2026-10-12</v>
      </c>
      <c r="C651" t="s">
        <v>765</v>
      </c>
      <c r="D651" t="s">
        <v>745</v>
      </c>
      <c r="E651" t="s">
        <v>757</v>
      </c>
      <c r="F651" t="s">
        <v>753</v>
      </c>
      <c r="H651" t="s">
        <v>759</v>
      </c>
    </row>
    <row r="652" spans="1:8" x14ac:dyDescent="0.3">
      <c r="A652" t="s">
        <v>656</v>
      </c>
      <c r="B652" s="4" t="d">
        <v>2026-10-13</v>
      </c>
      <c r="C652" t="s">
        <v>766</v>
      </c>
      <c r="D652" t="s">
        <v>745</v>
      </c>
      <c r="E652" t="s">
        <v>757</v>
      </c>
      <c r="F652" t="s">
        <v>747</v>
      </c>
      <c r="H652" t="s">
        <v>759</v>
      </c>
    </row>
    <row r="653" spans="1:8" x14ac:dyDescent="0.3">
      <c r="A653" t="s">
        <v>657</v>
      </c>
      <c r="B653" s="4" t="d">
        <v>2026-10-14</v>
      </c>
      <c r="C653" t="s">
        <v>767</v>
      </c>
      <c r="D653" t="s">
        <v>746</v>
      </c>
      <c r="E653" t="s">
        <v>758</v>
      </c>
      <c r="F653" t="s">
        <v>750</v>
      </c>
      <c r="H653" t="s">
        <v>759</v>
      </c>
    </row>
    <row r="654" spans="1:8" x14ac:dyDescent="0.3">
      <c r="A654" t="s">
        <v>658</v>
      </c>
      <c r="B654" s="4" t="d">
        <v>2026-10-15</v>
      </c>
      <c r="C654" t="s">
        <v>765</v>
      </c>
      <c r="D654" t="s">
        <v>745</v>
      </c>
      <c r="E654" t="s">
        <v>755</v>
      </c>
      <c r="F654" t="s">
        <v>751</v>
      </c>
      <c r="G654" s="9">
        <v>2</v>
      </c>
      <c r="H654">
        <v>5</v>
      </c>
    </row>
    <row r="655" spans="1:8" x14ac:dyDescent="0.3">
      <c r="A655" t="s">
        <v>659</v>
      </c>
      <c r="B655" s="4" t="d">
        <v>2026-10-16</v>
      </c>
      <c r="C655" t="s">
        <v>740</v>
      </c>
      <c r="D655" t="s">
        <v>746</v>
      </c>
      <c r="E655" t="s">
        <v>756</v>
      </c>
      <c r="F655" t="s">
        <v>754</v>
      </c>
      <c r="H655" t="s">
        <v>759</v>
      </c>
    </row>
    <row r="656" spans="1:8" x14ac:dyDescent="0.3">
      <c r="A656" t="s">
        <v>660</v>
      </c>
      <c r="B656" s="4" t="d">
        <v>2026-10-17</v>
      </c>
      <c r="C656" t="s">
        <v>741</v>
      </c>
      <c r="D656" t="s">
        <v>746</v>
      </c>
      <c r="E656" t="s">
        <v>755</v>
      </c>
      <c r="F656" t="s">
        <v>752</v>
      </c>
      <c r="G656" s="9">
        <v>36</v>
      </c>
      <c r="H656">
        <v>4</v>
      </c>
    </row>
    <row r="657" spans="1:8" x14ac:dyDescent="0.3">
      <c r="A657" t="s">
        <v>661</v>
      </c>
      <c r="B657" s="4" t="d">
        <v>2026-10-18</v>
      </c>
      <c r="C657" t="s">
        <v>741</v>
      </c>
      <c r="D657" t="s">
        <v>745</v>
      </c>
      <c r="E657" t="s">
        <v>758</v>
      </c>
      <c r="F657" t="s">
        <v>749</v>
      </c>
      <c r="H657" t="s">
        <v>759</v>
      </c>
    </row>
    <row r="658" spans="1:8" x14ac:dyDescent="0.3">
      <c r="A658" t="s">
        <v>662</v>
      </c>
      <c r="B658" s="4" t="d">
        <v>2026-10-19</v>
      </c>
      <c r="C658" t="s">
        <v>741</v>
      </c>
      <c r="D658" t="s">
        <v>746</v>
      </c>
      <c r="E658" t="s">
        <v>756</v>
      </c>
      <c r="F658" t="s">
        <v>753</v>
      </c>
      <c r="H658" t="s">
        <v>759</v>
      </c>
    </row>
    <row r="659" spans="1:8" x14ac:dyDescent="0.3">
      <c r="A659" t="s">
        <v>663</v>
      </c>
      <c r="B659" s="4" t="d">
        <v>2026-10-20</v>
      </c>
      <c r="C659" t="s">
        <v>741</v>
      </c>
      <c r="D659" t="s">
        <v>746</v>
      </c>
      <c r="E659" t="s">
        <v>756</v>
      </c>
      <c r="F659" t="s">
        <v>751</v>
      </c>
      <c r="H659" t="s">
        <v>759</v>
      </c>
    </row>
    <row r="660" spans="1:8" x14ac:dyDescent="0.3">
      <c r="A660" t="s">
        <v>664</v>
      </c>
      <c r="B660" s="4" t="d">
        <v>2026-10-21</v>
      </c>
      <c r="C660" t="s">
        <v>741</v>
      </c>
      <c r="D660" t="s">
        <v>746</v>
      </c>
      <c r="E660" t="s">
        <v>757</v>
      </c>
      <c r="F660" t="s">
        <v>751</v>
      </c>
      <c r="H660" t="s">
        <v>759</v>
      </c>
    </row>
    <row r="661" spans="1:8" x14ac:dyDescent="0.3">
      <c r="A661" t="s">
        <v>665</v>
      </c>
      <c r="B661" s="4" t="d">
        <v>2026-10-22</v>
      </c>
      <c r="C661" t="s">
        <v>740</v>
      </c>
      <c r="D661" t="s">
        <v>746</v>
      </c>
      <c r="E661" t="s">
        <v>757</v>
      </c>
      <c r="F661" t="s">
        <v>747</v>
      </c>
      <c r="H661" t="s">
        <v>759</v>
      </c>
    </row>
    <row r="662" spans="1:8" x14ac:dyDescent="0.3">
      <c r="A662" t="s">
        <v>666</v>
      </c>
      <c r="B662" s="4" t="d">
        <v>2026-10-23</v>
      </c>
      <c r="C662" t="s">
        <v>766</v>
      </c>
      <c r="D662" t="s">
        <v>745</v>
      </c>
      <c r="E662" t="s">
        <v>757</v>
      </c>
      <c r="F662" t="s">
        <v>752</v>
      </c>
      <c r="H662" t="s">
        <v>759</v>
      </c>
    </row>
    <row r="663" spans="1:8" x14ac:dyDescent="0.3">
      <c r="A663" t="s">
        <v>667</v>
      </c>
      <c r="B663" s="4" t="d">
        <v>2026-10-24</v>
      </c>
      <c r="C663" t="s">
        <v>767</v>
      </c>
      <c r="D663" t="s">
        <v>746</v>
      </c>
      <c r="E663" t="s">
        <v>755</v>
      </c>
      <c r="F663" t="s">
        <v>751</v>
      </c>
      <c r="G663" s="9">
        <v>8</v>
      </c>
      <c r="H663">
        <v>4</v>
      </c>
    </row>
    <row r="664" spans="1:8" x14ac:dyDescent="0.3">
      <c r="A664" t="s">
        <v>668</v>
      </c>
      <c r="B664" s="4" t="d">
        <v>2026-10-25</v>
      </c>
      <c r="C664" t="s">
        <v>740</v>
      </c>
      <c r="D664" t="s">
        <v>746</v>
      </c>
      <c r="E664" t="s">
        <v>755</v>
      </c>
      <c r="F664" t="s">
        <v>748</v>
      </c>
      <c r="G664" s="9">
        <v>5</v>
      </c>
      <c r="H664">
        <v>4</v>
      </c>
    </row>
    <row r="665" spans="1:8" x14ac:dyDescent="0.3">
      <c r="A665" t="s">
        <v>669</v>
      </c>
      <c r="B665" s="4" t="d">
        <v>2026-10-26</v>
      </c>
      <c r="C665" t="s">
        <v>765</v>
      </c>
      <c r="D665" t="s">
        <v>745</v>
      </c>
      <c r="E665" t="s">
        <v>756</v>
      </c>
      <c r="F665" t="s">
        <v>752</v>
      </c>
      <c r="H665" t="s">
        <v>759</v>
      </c>
    </row>
    <row r="666" spans="1:8" x14ac:dyDescent="0.3">
      <c r="A666" t="s">
        <v>670</v>
      </c>
      <c r="B666" s="4" t="d">
        <v>2026-10-27</v>
      </c>
      <c r="C666" t="s">
        <v>766</v>
      </c>
      <c r="D666" t="s">
        <v>746</v>
      </c>
      <c r="E666" t="s">
        <v>755</v>
      </c>
      <c r="F666" t="s">
        <v>749</v>
      </c>
      <c r="G666" s="9">
        <v>21</v>
      </c>
      <c r="H666">
        <v>5</v>
      </c>
    </row>
    <row r="667" spans="1:8" x14ac:dyDescent="0.3">
      <c r="A667" t="s">
        <v>671</v>
      </c>
      <c r="B667" s="4" t="d">
        <v>2026-10-28</v>
      </c>
      <c r="C667" t="s">
        <v>741</v>
      </c>
      <c r="D667" t="s">
        <v>745</v>
      </c>
      <c r="E667" t="s">
        <v>755</v>
      </c>
      <c r="F667" t="s">
        <v>752</v>
      </c>
      <c r="G667" s="9">
        <v>35</v>
      </c>
      <c r="H667">
        <v>5</v>
      </c>
    </row>
    <row r="668" spans="1:8" x14ac:dyDescent="0.3">
      <c r="A668" t="s">
        <v>672</v>
      </c>
      <c r="B668" s="4" t="d">
        <v>2026-10-29</v>
      </c>
      <c r="C668" t="s">
        <v>765</v>
      </c>
      <c r="D668" t="s">
        <v>745</v>
      </c>
      <c r="E668" t="s">
        <v>755</v>
      </c>
      <c r="F668" t="s">
        <v>753</v>
      </c>
      <c r="G668" s="9">
        <v>7</v>
      </c>
      <c r="H668">
        <v>4</v>
      </c>
    </row>
    <row r="669" spans="1:8" x14ac:dyDescent="0.3">
      <c r="A669" t="s">
        <v>673</v>
      </c>
      <c r="B669" s="4" t="d">
        <v>2026-10-30</v>
      </c>
      <c r="C669" t="s">
        <v>741</v>
      </c>
      <c r="D669" t="s">
        <v>745</v>
      </c>
      <c r="E669" t="s">
        <v>757</v>
      </c>
      <c r="F669" t="s">
        <v>752</v>
      </c>
      <c r="H669" t="s">
        <v>759</v>
      </c>
    </row>
    <row r="670" spans="1:8" x14ac:dyDescent="0.3">
      <c r="A670" t="s">
        <v>674</v>
      </c>
      <c r="B670" s="4" t="d">
        <v>2026-10-31</v>
      </c>
      <c r="C670" t="s">
        <v>767</v>
      </c>
      <c r="D670" t="s">
        <v>746</v>
      </c>
      <c r="E670" t="s">
        <v>755</v>
      </c>
      <c r="F670" t="s">
        <v>751</v>
      </c>
      <c r="G670" s="9">
        <v>8</v>
      </c>
      <c r="H670">
        <v>4</v>
      </c>
    </row>
    <row r="671" spans="1:8" x14ac:dyDescent="0.3">
      <c r="A671" t="s">
        <v>675</v>
      </c>
      <c r="B671" s="4" t="d">
        <v>2026-11-01</v>
      </c>
      <c r="C671" t="s">
        <v>766</v>
      </c>
      <c r="D671" t="s">
        <v>746</v>
      </c>
      <c r="E671" t="s">
        <v>755</v>
      </c>
      <c r="F671" t="s">
        <v>754</v>
      </c>
      <c r="G671" s="9">
        <v>37</v>
      </c>
      <c r="H671">
        <v>5</v>
      </c>
    </row>
    <row r="672" spans="1:8" x14ac:dyDescent="0.3">
      <c r="A672" t="s">
        <v>676</v>
      </c>
      <c r="B672" s="4" t="d">
        <v>2026-11-02</v>
      </c>
      <c r="C672" t="s">
        <v>766</v>
      </c>
      <c r="D672" t="s">
        <v>745</v>
      </c>
      <c r="E672" t="s">
        <v>755</v>
      </c>
      <c r="F672" t="s">
        <v>747</v>
      </c>
      <c r="G672" s="9">
        <v>48</v>
      </c>
      <c r="H672">
        <v>5</v>
      </c>
    </row>
    <row r="673" spans="1:8" x14ac:dyDescent="0.3">
      <c r="A673" t="s">
        <v>677</v>
      </c>
      <c r="B673" s="4" t="d">
        <v>2026-11-03</v>
      </c>
      <c r="C673" t="s">
        <v>740</v>
      </c>
      <c r="D673" t="s">
        <v>746</v>
      </c>
      <c r="E673" t="s">
        <v>755</v>
      </c>
      <c r="F673" t="s">
        <v>750</v>
      </c>
      <c r="G673" s="9">
        <v>5</v>
      </c>
      <c r="H673">
        <v>4</v>
      </c>
    </row>
    <row r="674" spans="1:8" x14ac:dyDescent="0.3">
      <c r="A674" t="s">
        <v>678</v>
      </c>
      <c r="B674" s="4" t="d">
        <v>2026-11-04</v>
      </c>
      <c r="C674" t="s">
        <v>741</v>
      </c>
      <c r="D674" t="s">
        <v>745</v>
      </c>
      <c r="E674" t="s">
        <v>756</v>
      </c>
      <c r="F674" t="s">
        <v>750</v>
      </c>
      <c r="H674" t="s">
        <v>759</v>
      </c>
    </row>
    <row r="675" spans="1:8" x14ac:dyDescent="0.3">
      <c r="A675" t="s">
        <v>679</v>
      </c>
      <c r="B675" s="4" t="d">
        <v>2026-11-05</v>
      </c>
      <c r="C675" t="s">
        <v>767</v>
      </c>
      <c r="D675" t="s">
        <v>746</v>
      </c>
      <c r="E675" t="s">
        <v>757</v>
      </c>
      <c r="F675" t="s">
        <v>752</v>
      </c>
      <c r="H675" t="s">
        <v>759</v>
      </c>
    </row>
    <row r="676" spans="1:8" x14ac:dyDescent="0.3">
      <c r="A676" t="s">
        <v>680</v>
      </c>
      <c r="B676" s="4" t="d">
        <v>2026-11-06</v>
      </c>
      <c r="C676" t="s">
        <v>767</v>
      </c>
      <c r="D676" t="s">
        <v>746</v>
      </c>
      <c r="E676" t="s">
        <v>756</v>
      </c>
      <c r="F676" t="s">
        <v>751</v>
      </c>
      <c r="H676" t="s">
        <v>759</v>
      </c>
    </row>
    <row r="677" spans="1:8" x14ac:dyDescent="0.3">
      <c r="A677" t="s">
        <v>681</v>
      </c>
      <c r="B677" s="4" t="d">
        <v>2026-11-07</v>
      </c>
      <c r="C677" t="s">
        <v>765</v>
      </c>
      <c r="D677" t="s">
        <v>745</v>
      </c>
      <c r="E677" t="s">
        <v>757</v>
      </c>
      <c r="F677" t="s">
        <v>748</v>
      </c>
      <c r="H677" t="s">
        <v>759</v>
      </c>
    </row>
    <row r="678" spans="1:8" x14ac:dyDescent="0.3">
      <c r="A678" t="s">
        <v>682</v>
      </c>
      <c r="B678" s="4" t="d">
        <v>2026-11-08</v>
      </c>
      <c r="C678" t="s">
        <v>741</v>
      </c>
      <c r="D678" t="s">
        <v>746</v>
      </c>
      <c r="E678" t="s">
        <v>758</v>
      </c>
      <c r="F678" t="s">
        <v>749</v>
      </c>
      <c r="H678" t="s">
        <v>759</v>
      </c>
    </row>
    <row r="679" spans="1:8" x14ac:dyDescent="0.3">
      <c r="A679" t="s">
        <v>683</v>
      </c>
      <c r="B679" s="4" t="d">
        <v>2026-11-09</v>
      </c>
      <c r="C679" t="s">
        <v>767</v>
      </c>
      <c r="D679" t="s">
        <v>746</v>
      </c>
      <c r="E679" t="s">
        <v>756</v>
      </c>
      <c r="F679" t="s">
        <v>747</v>
      </c>
      <c r="H679" t="s">
        <v>759</v>
      </c>
    </row>
    <row r="680" spans="1:8" x14ac:dyDescent="0.3">
      <c r="A680" t="s">
        <v>684</v>
      </c>
      <c r="B680" s="4" t="d">
        <v>2026-11-10</v>
      </c>
      <c r="C680" t="s">
        <v>766</v>
      </c>
      <c r="D680" t="s">
        <v>745</v>
      </c>
      <c r="E680" t="s">
        <v>755</v>
      </c>
      <c r="F680" t="s">
        <v>747</v>
      </c>
      <c r="G680" s="9">
        <v>46</v>
      </c>
      <c r="H680">
        <v>5</v>
      </c>
    </row>
    <row r="681" spans="1:8" x14ac:dyDescent="0.3">
      <c r="A681" t="s">
        <v>685</v>
      </c>
      <c r="B681" s="4" t="d">
        <v>2026-11-11</v>
      </c>
      <c r="C681" t="s">
        <v>741</v>
      </c>
      <c r="D681" t="s">
        <v>745</v>
      </c>
      <c r="E681" t="s">
        <v>755</v>
      </c>
      <c r="F681" t="s">
        <v>748</v>
      </c>
      <c r="G681" s="9">
        <v>24</v>
      </c>
      <c r="H681">
        <v>5</v>
      </c>
    </row>
    <row r="682" spans="1:8" x14ac:dyDescent="0.3">
      <c r="A682" t="s">
        <v>686</v>
      </c>
      <c r="B682" s="4" t="d">
        <v>2026-11-12</v>
      </c>
      <c r="C682" t="s">
        <v>766</v>
      </c>
      <c r="D682" t="s">
        <v>746</v>
      </c>
      <c r="E682" t="s">
        <v>757</v>
      </c>
      <c r="F682" t="s">
        <v>751</v>
      </c>
      <c r="H682" t="s">
        <v>759</v>
      </c>
    </row>
    <row r="683" spans="1:8" x14ac:dyDescent="0.3">
      <c r="A683" t="s">
        <v>687</v>
      </c>
      <c r="B683" s="4" t="d">
        <v>2026-11-13</v>
      </c>
      <c r="C683" t="s">
        <v>767</v>
      </c>
      <c r="D683" t="s">
        <v>746</v>
      </c>
      <c r="E683" t="s">
        <v>756</v>
      </c>
      <c r="F683" t="s">
        <v>747</v>
      </c>
      <c r="H683" t="s">
        <v>759</v>
      </c>
    </row>
    <row r="684" spans="1:8" x14ac:dyDescent="0.3">
      <c r="A684" t="s">
        <v>688</v>
      </c>
      <c r="B684" s="4" t="d">
        <v>2026-11-14</v>
      </c>
      <c r="C684" t="s">
        <v>741</v>
      </c>
      <c r="D684" t="s">
        <v>745</v>
      </c>
      <c r="E684" t="s">
        <v>755</v>
      </c>
      <c r="F684" t="s">
        <v>748</v>
      </c>
      <c r="G684" s="9">
        <v>29</v>
      </c>
      <c r="H684">
        <v>5</v>
      </c>
    </row>
    <row r="685" spans="1:8" x14ac:dyDescent="0.3">
      <c r="A685" t="s">
        <v>689</v>
      </c>
      <c r="B685" s="4" t="d">
        <v>2026-11-15</v>
      </c>
      <c r="C685" t="s">
        <v>740</v>
      </c>
      <c r="D685" t="s">
        <v>746</v>
      </c>
      <c r="E685" t="s">
        <v>756</v>
      </c>
      <c r="F685" t="s">
        <v>752</v>
      </c>
      <c r="H685" t="s">
        <v>759</v>
      </c>
    </row>
    <row r="686" spans="1:8" x14ac:dyDescent="0.3">
      <c r="A686" t="s">
        <v>690</v>
      </c>
      <c r="B686" s="4" t="d">
        <v>2026-11-16</v>
      </c>
      <c r="C686" t="s">
        <v>766</v>
      </c>
      <c r="D686" t="s">
        <v>745</v>
      </c>
      <c r="E686" t="s">
        <v>756</v>
      </c>
      <c r="F686" t="s">
        <v>754</v>
      </c>
      <c r="H686" t="s">
        <v>759</v>
      </c>
    </row>
    <row r="687" spans="1:8" x14ac:dyDescent="0.3">
      <c r="A687" t="s">
        <v>691</v>
      </c>
      <c r="B687" s="4" t="d">
        <v>2026-11-17</v>
      </c>
      <c r="C687" t="s">
        <v>740</v>
      </c>
      <c r="D687" t="s">
        <v>746</v>
      </c>
      <c r="E687" t="s">
        <v>757</v>
      </c>
      <c r="F687" t="s">
        <v>747</v>
      </c>
      <c r="H687" t="s">
        <v>759</v>
      </c>
    </row>
    <row r="688" spans="1:8" x14ac:dyDescent="0.3">
      <c r="A688" t="s">
        <v>692</v>
      </c>
      <c r="B688" s="4" t="d">
        <v>2026-11-18</v>
      </c>
      <c r="C688" t="s">
        <v>740</v>
      </c>
      <c r="D688" t="s">
        <v>746</v>
      </c>
      <c r="E688" t="s">
        <v>755</v>
      </c>
      <c r="F688" t="s">
        <v>753</v>
      </c>
      <c r="G688" s="9">
        <v>4</v>
      </c>
      <c r="H688">
        <v>5</v>
      </c>
    </row>
    <row r="689" spans="1:8" x14ac:dyDescent="0.3">
      <c r="A689" t="s">
        <v>693</v>
      </c>
      <c r="B689" s="4" t="d">
        <v>2026-11-19</v>
      </c>
      <c r="C689" t="s">
        <v>766</v>
      </c>
      <c r="D689" t="s">
        <v>745</v>
      </c>
      <c r="E689" t="s">
        <v>756</v>
      </c>
      <c r="F689" t="s">
        <v>753</v>
      </c>
      <c r="H689" t="s">
        <v>759</v>
      </c>
    </row>
    <row r="690" spans="1:8" x14ac:dyDescent="0.3">
      <c r="A690" t="s">
        <v>694</v>
      </c>
      <c r="B690" s="4" t="d">
        <v>2026-11-20</v>
      </c>
      <c r="C690" t="s">
        <v>765</v>
      </c>
      <c r="D690" t="s">
        <v>745</v>
      </c>
      <c r="E690" t="s">
        <v>756</v>
      </c>
      <c r="F690" t="s">
        <v>751</v>
      </c>
      <c r="H690" t="s">
        <v>759</v>
      </c>
    </row>
    <row r="691" spans="1:8" x14ac:dyDescent="0.3">
      <c r="A691" t="s">
        <v>695</v>
      </c>
      <c r="B691" s="4" t="d">
        <v>2026-11-21</v>
      </c>
      <c r="C691" t="s">
        <v>740</v>
      </c>
      <c r="D691" t="s">
        <v>746</v>
      </c>
      <c r="E691" t="s">
        <v>756</v>
      </c>
      <c r="F691" t="s">
        <v>749</v>
      </c>
      <c r="H691" t="s">
        <v>759</v>
      </c>
    </row>
    <row r="692" spans="1:8" x14ac:dyDescent="0.3">
      <c r="A692" t="s">
        <v>696</v>
      </c>
      <c r="B692" s="4" t="d">
        <v>2026-11-22</v>
      </c>
      <c r="C692" t="s">
        <v>767</v>
      </c>
      <c r="D692" t="s">
        <v>746</v>
      </c>
      <c r="E692" t="s">
        <v>756</v>
      </c>
      <c r="F692" t="s">
        <v>749</v>
      </c>
      <c r="H692" t="s">
        <v>759</v>
      </c>
    </row>
    <row r="693" spans="1:8" x14ac:dyDescent="0.3">
      <c r="A693" t="s">
        <v>697</v>
      </c>
      <c r="B693" s="4" t="d">
        <v>2026-11-23</v>
      </c>
      <c r="C693" t="s">
        <v>766</v>
      </c>
      <c r="D693" t="s">
        <v>746</v>
      </c>
      <c r="E693" t="s">
        <v>758</v>
      </c>
      <c r="F693" t="s">
        <v>748</v>
      </c>
      <c r="H693" t="s">
        <v>759</v>
      </c>
    </row>
    <row r="694" spans="1:8" x14ac:dyDescent="0.3">
      <c r="A694" t="s">
        <v>698</v>
      </c>
      <c r="B694" s="4" t="d">
        <v>2026-11-24</v>
      </c>
      <c r="C694" t="s">
        <v>766</v>
      </c>
      <c r="D694" t="s">
        <v>745</v>
      </c>
      <c r="E694" t="s">
        <v>758</v>
      </c>
      <c r="F694" t="s">
        <v>750</v>
      </c>
      <c r="H694" t="s">
        <v>759</v>
      </c>
    </row>
    <row r="695" spans="1:8" x14ac:dyDescent="0.3">
      <c r="A695" t="s">
        <v>699</v>
      </c>
      <c r="B695" s="4" t="d">
        <v>2026-11-25</v>
      </c>
      <c r="C695" t="s">
        <v>765</v>
      </c>
      <c r="D695" t="s">
        <v>745</v>
      </c>
      <c r="E695" t="s">
        <v>758</v>
      </c>
      <c r="F695" t="s">
        <v>747</v>
      </c>
      <c r="H695" t="s">
        <v>759</v>
      </c>
    </row>
    <row r="696" spans="1:8" x14ac:dyDescent="0.3">
      <c r="A696" t="s">
        <v>700</v>
      </c>
      <c r="B696" s="4" t="d">
        <v>2026-11-26</v>
      </c>
      <c r="C696" t="s">
        <v>765</v>
      </c>
      <c r="D696" t="s">
        <v>745</v>
      </c>
      <c r="E696" t="s">
        <v>757</v>
      </c>
      <c r="F696" t="s">
        <v>753</v>
      </c>
      <c r="H696" t="s">
        <v>759</v>
      </c>
    </row>
    <row r="697" spans="1:8" x14ac:dyDescent="0.3">
      <c r="A697" t="s">
        <v>701</v>
      </c>
      <c r="B697" s="4" t="d">
        <v>2026-11-27</v>
      </c>
      <c r="C697" t="s">
        <v>767</v>
      </c>
      <c r="D697" t="s">
        <v>746</v>
      </c>
      <c r="E697" t="s">
        <v>758</v>
      </c>
      <c r="F697" t="s">
        <v>754</v>
      </c>
      <c r="H697" t="s">
        <v>759</v>
      </c>
    </row>
    <row r="698" spans="1:8" x14ac:dyDescent="0.3">
      <c r="A698" t="s">
        <v>702</v>
      </c>
      <c r="B698" s="4" t="d">
        <v>2026-11-28</v>
      </c>
      <c r="C698" t="s">
        <v>765</v>
      </c>
      <c r="D698" t="s">
        <v>745</v>
      </c>
      <c r="E698" t="s">
        <v>758</v>
      </c>
      <c r="F698" t="s">
        <v>750</v>
      </c>
      <c r="H698" t="s">
        <v>759</v>
      </c>
    </row>
    <row r="699" spans="1:8" x14ac:dyDescent="0.3">
      <c r="A699" t="s">
        <v>703</v>
      </c>
      <c r="B699" s="4" t="d">
        <v>2026-11-29</v>
      </c>
      <c r="C699" t="s">
        <v>766</v>
      </c>
      <c r="D699" t="s">
        <v>746</v>
      </c>
      <c r="E699" t="s">
        <v>756</v>
      </c>
      <c r="F699" t="s">
        <v>748</v>
      </c>
      <c r="H699" t="s">
        <v>759</v>
      </c>
    </row>
    <row r="700" spans="1:8" x14ac:dyDescent="0.3">
      <c r="A700" t="s">
        <v>704</v>
      </c>
      <c r="B700" s="4" t="d">
        <v>2026-11-30</v>
      </c>
      <c r="C700" t="s">
        <v>766</v>
      </c>
      <c r="D700" t="s">
        <v>746</v>
      </c>
      <c r="E700" t="s">
        <v>755</v>
      </c>
      <c r="F700" t="s">
        <v>749</v>
      </c>
      <c r="G700" s="9">
        <v>25</v>
      </c>
      <c r="H700">
        <v>4</v>
      </c>
    </row>
    <row r="701" spans="1:8" x14ac:dyDescent="0.3">
      <c r="A701" t="s">
        <v>705</v>
      </c>
      <c r="B701" s="4" t="d">
        <v>2026-12-01</v>
      </c>
      <c r="C701" t="s">
        <v>766</v>
      </c>
      <c r="D701" t="s">
        <v>745</v>
      </c>
      <c r="E701" t="s">
        <v>756</v>
      </c>
      <c r="F701" t="s">
        <v>754</v>
      </c>
      <c r="H701" t="s">
        <v>759</v>
      </c>
    </row>
    <row r="702" spans="1:8" x14ac:dyDescent="0.3">
      <c r="A702" t="s">
        <v>706</v>
      </c>
      <c r="B702" s="4" t="d">
        <v>2026-12-02</v>
      </c>
      <c r="C702" t="s">
        <v>766</v>
      </c>
      <c r="D702" t="s">
        <v>746</v>
      </c>
      <c r="E702" t="s">
        <v>755</v>
      </c>
      <c r="F702" t="s">
        <v>747</v>
      </c>
      <c r="G702" s="9">
        <v>47</v>
      </c>
      <c r="H702">
        <v>4</v>
      </c>
    </row>
    <row r="703" spans="1:8" x14ac:dyDescent="0.3">
      <c r="A703" t="s">
        <v>707</v>
      </c>
      <c r="B703" s="4" t="d">
        <v>2026-12-03</v>
      </c>
      <c r="C703" t="s">
        <v>766</v>
      </c>
      <c r="D703" t="s">
        <v>745</v>
      </c>
      <c r="E703" t="s">
        <v>756</v>
      </c>
      <c r="F703" t="s">
        <v>748</v>
      </c>
      <c r="H703" t="s">
        <v>759</v>
      </c>
    </row>
    <row r="704" spans="1:8" x14ac:dyDescent="0.3">
      <c r="A704" t="s">
        <v>708</v>
      </c>
      <c r="B704" s="4" t="d">
        <v>2026-12-04</v>
      </c>
      <c r="C704" t="s">
        <v>741</v>
      </c>
      <c r="D704" t="s">
        <v>745</v>
      </c>
      <c r="E704" t="s">
        <v>756</v>
      </c>
      <c r="F704" t="s">
        <v>751</v>
      </c>
      <c r="H704" t="s">
        <v>759</v>
      </c>
    </row>
    <row r="705" spans="1:8" x14ac:dyDescent="0.3">
      <c r="A705" t="s">
        <v>709</v>
      </c>
      <c r="B705" s="4" t="d">
        <v>2026-12-05</v>
      </c>
      <c r="C705" t="s">
        <v>765</v>
      </c>
      <c r="D705" t="s">
        <v>745</v>
      </c>
      <c r="E705" t="s">
        <v>755</v>
      </c>
      <c r="F705" t="s">
        <v>748</v>
      </c>
      <c r="G705" s="9">
        <v>6</v>
      </c>
      <c r="H705">
        <v>5</v>
      </c>
    </row>
    <row r="706" spans="1:8" x14ac:dyDescent="0.3">
      <c r="A706" t="s">
        <v>710</v>
      </c>
      <c r="B706" s="4" t="d">
        <v>2026-12-06</v>
      </c>
      <c r="C706" t="s">
        <v>740</v>
      </c>
      <c r="D706" t="s">
        <v>746</v>
      </c>
      <c r="E706" t="s">
        <v>758</v>
      </c>
      <c r="F706" t="s">
        <v>748</v>
      </c>
      <c r="H706" t="s">
        <v>759</v>
      </c>
    </row>
    <row r="707" spans="1:8" x14ac:dyDescent="0.3">
      <c r="A707" t="s">
        <v>711</v>
      </c>
      <c r="B707" s="4" t="d">
        <v>2026-12-07</v>
      </c>
      <c r="C707" t="s">
        <v>766</v>
      </c>
      <c r="D707" t="s">
        <v>746</v>
      </c>
      <c r="E707" t="s">
        <v>756</v>
      </c>
      <c r="F707" t="s">
        <v>751</v>
      </c>
      <c r="H707" t="s">
        <v>759</v>
      </c>
    </row>
    <row r="708" spans="1:8" x14ac:dyDescent="0.3">
      <c r="A708" t="s">
        <v>712</v>
      </c>
      <c r="B708" s="4" t="d">
        <v>2026-12-08</v>
      </c>
      <c r="C708" t="s">
        <v>767</v>
      </c>
      <c r="D708" t="s">
        <v>746</v>
      </c>
      <c r="E708" t="s">
        <v>756</v>
      </c>
      <c r="F708" t="s">
        <v>748</v>
      </c>
      <c r="H708" t="s">
        <v>759</v>
      </c>
    </row>
    <row r="709" spans="1:8" x14ac:dyDescent="0.3">
      <c r="A709" t="s">
        <v>713</v>
      </c>
      <c r="B709" s="4" t="d">
        <v>2026-12-09</v>
      </c>
      <c r="C709" t="s">
        <v>740</v>
      </c>
      <c r="D709" t="s">
        <v>746</v>
      </c>
      <c r="E709" t="s">
        <v>756</v>
      </c>
      <c r="F709" t="s">
        <v>754</v>
      </c>
      <c r="H709" t="s">
        <v>759</v>
      </c>
    </row>
    <row r="710" spans="1:8" x14ac:dyDescent="0.3">
      <c r="A710" t="s">
        <v>714</v>
      </c>
      <c r="B710" s="4" t="d">
        <v>2026-12-10</v>
      </c>
      <c r="C710" t="s">
        <v>765</v>
      </c>
      <c r="D710" t="s">
        <v>745</v>
      </c>
      <c r="E710" t="s">
        <v>755</v>
      </c>
      <c r="F710" t="s">
        <v>748</v>
      </c>
      <c r="G710" s="9">
        <v>7</v>
      </c>
      <c r="H710">
        <v>5</v>
      </c>
    </row>
    <row r="711" spans="1:8" x14ac:dyDescent="0.3">
      <c r="A711" t="s">
        <v>715</v>
      </c>
      <c r="B711" s="4" t="d">
        <v>2026-12-11</v>
      </c>
      <c r="C711" t="s">
        <v>766</v>
      </c>
      <c r="D711" t="s">
        <v>746</v>
      </c>
      <c r="E711" t="s">
        <v>757</v>
      </c>
      <c r="F711" t="s">
        <v>751</v>
      </c>
      <c r="H711" t="s">
        <v>759</v>
      </c>
    </row>
    <row r="712" spans="1:8" x14ac:dyDescent="0.3">
      <c r="A712" t="s">
        <v>716</v>
      </c>
      <c r="B712" s="4" t="d">
        <v>2026-12-12</v>
      </c>
      <c r="C712" t="s">
        <v>766</v>
      </c>
      <c r="D712" t="s">
        <v>746</v>
      </c>
      <c r="E712" t="s">
        <v>755</v>
      </c>
      <c r="F712" t="s">
        <v>751</v>
      </c>
      <c r="G712" s="9">
        <v>31</v>
      </c>
      <c r="H712">
        <v>3</v>
      </c>
    </row>
    <row r="713" spans="1:8" x14ac:dyDescent="0.3">
      <c r="A713" t="s">
        <v>717</v>
      </c>
      <c r="B713" s="4" t="d">
        <v>2026-12-13</v>
      </c>
      <c r="C713" t="s">
        <v>767</v>
      </c>
      <c r="D713" t="s">
        <v>746</v>
      </c>
      <c r="E713" t="s">
        <v>756</v>
      </c>
      <c r="F713" t="s">
        <v>747</v>
      </c>
      <c r="H713" t="s">
        <v>759</v>
      </c>
    </row>
    <row r="714" spans="1:8" x14ac:dyDescent="0.3">
      <c r="A714" t="s">
        <v>718</v>
      </c>
      <c r="B714" s="4" t="d">
        <v>2026-12-14</v>
      </c>
      <c r="C714" t="s">
        <v>740</v>
      </c>
      <c r="D714" t="s">
        <v>746</v>
      </c>
      <c r="E714" t="s">
        <v>756</v>
      </c>
      <c r="F714" t="s">
        <v>754</v>
      </c>
      <c r="H714" t="s">
        <v>759</v>
      </c>
    </row>
    <row r="715" spans="1:8" x14ac:dyDescent="0.3">
      <c r="A715" t="s">
        <v>719</v>
      </c>
      <c r="B715" s="4" t="d">
        <v>2026-12-15</v>
      </c>
      <c r="C715" t="s">
        <v>765</v>
      </c>
      <c r="D715" t="s">
        <v>745</v>
      </c>
      <c r="E715" t="s">
        <v>755</v>
      </c>
      <c r="F715" t="s">
        <v>752</v>
      </c>
      <c r="G715" s="9">
        <v>8</v>
      </c>
      <c r="H715">
        <v>4</v>
      </c>
    </row>
    <row r="716" spans="1:8" x14ac:dyDescent="0.3">
      <c r="A716" t="s">
        <v>720</v>
      </c>
      <c r="B716" s="4" t="d">
        <v>2026-12-16</v>
      </c>
      <c r="C716" t="s">
        <v>741</v>
      </c>
      <c r="D716" t="s">
        <v>746</v>
      </c>
      <c r="E716" t="s">
        <v>756</v>
      </c>
      <c r="F716" t="s">
        <v>752</v>
      </c>
      <c r="H716" t="s">
        <v>759</v>
      </c>
    </row>
    <row r="717" spans="1:8" x14ac:dyDescent="0.3">
      <c r="A717" t="s">
        <v>721</v>
      </c>
      <c r="B717" s="4" t="d">
        <v>2026-12-17</v>
      </c>
      <c r="C717" t="s">
        <v>766</v>
      </c>
      <c r="D717" t="s">
        <v>745</v>
      </c>
      <c r="E717" t="s">
        <v>755</v>
      </c>
      <c r="F717" t="s">
        <v>752</v>
      </c>
      <c r="G717" s="9">
        <v>17</v>
      </c>
      <c r="H717">
        <v>5</v>
      </c>
    </row>
    <row r="718" spans="1:8" x14ac:dyDescent="0.3">
      <c r="A718" t="s">
        <v>722</v>
      </c>
      <c r="B718" s="4" t="d">
        <v>2026-12-18</v>
      </c>
      <c r="C718" t="s">
        <v>740</v>
      </c>
      <c r="D718" t="s">
        <v>746</v>
      </c>
      <c r="E718" t="s">
        <v>758</v>
      </c>
      <c r="F718" t="s">
        <v>750</v>
      </c>
      <c r="H718" t="s">
        <v>759</v>
      </c>
    </row>
    <row r="719" spans="1:8" x14ac:dyDescent="0.3">
      <c r="A719" t="s">
        <v>723</v>
      </c>
      <c r="B719" s="4" t="d">
        <v>2026-12-19</v>
      </c>
      <c r="C719" t="s">
        <v>766</v>
      </c>
      <c r="D719" t="s">
        <v>746</v>
      </c>
      <c r="E719" t="s">
        <v>756</v>
      </c>
      <c r="F719" t="s">
        <v>754</v>
      </c>
      <c r="H719" t="s">
        <v>759</v>
      </c>
    </row>
    <row r="720" spans="1:8" x14ac:dyDescent="0.3">
      <c r="A720" t="s">
        <v>724</v>
      </c>
      <c r="B720" s="4" t="d">
        <v>2026-12-20</v>
      </c>
      <c r="C720" t="s">
        <v>741</v>
      </c>
      <c r="D720" t="s">
        <v>746</v>
      </c>
      <c r="E720" t="s">
        <v>755</v>
      </c>
      <c r="F720" t="s">
        <v>750</v>
      </c>
      <c r="G720" s="9">
        <v>43</v>
      </c>
      <c r="H720">
        <v>3</v>
      </c>
    </row>
    <row r="721" spans="1:8" x14ac:dyDescent="0.3">
      <c r="A721" t="s">
        <v>725</v>
      </c>
      <c r="B721" s="4" t="d">
        <v>2026-12-21</v>
      </c>
      <c r="C721" t="s">
        <v>741</v>
      </c>
      <c r="D721" t="s">
        <v>745</v>
      </c>
      <c r="E721" t="s">
        <v>755</v>
      </c>
      <c r="F721" t="s">
        <v>751</v>
      </c>
      <c r="G721" s="9">
        <v>26</v>
      </c>
      <c r="H721">
        <v>4</v>
      </c>
    </row>
    <row r="722" spans="1:8" x14ac:dyDescent="0.3">
      <c r="A722" t="s">
        <v>726</v>
      </c>
      <c r="B722" s="4" t="d">
        <v>2026-12-22</v>
      </c>
      <c r="C722" t="s">
        <v>740</v>
      </c>
      <c r="D722" t="s">
        <v>746</v>
      </c>
      <c r="E722" t="s">
        <v>756</v>
      </c>
      <c r="F722" t="s">
        <v>747</v>
      </c>
      <c r="H722" t="s">
        <v>759</v>
      </c>
    </row>
    <row r="723" spans="1:8" x14ac:dyDescent="0.3">
      <c r="A723" t="s">
        <v>727</v>
      </c>
      <c r="B723" s="4" t="d">
        <v>2026-12-23</v>
      </c>
      <c r="C723" t="s">
        <v>741</v>
      </c>
      <c r="D723" t="s">
        <v>746</v>
      </c>
      <c r="E723" t="s">
        <v>755</v>
      </c>
      <c r="F723" t="s">
        <v>753</v>
      </c>
      <c r="G723" s="9">
        <v>44</v>
      </c>
      <c r="H723">
        <v>4</v>
      </c>
    </row>
    <row r="724" spans="1:8" x14ac:dyDescent="0.3">
      <c r="A724" t="s">
        <v>728</v>
      </c>
      <c r="B724" s="4" t="d">
        <v>2026-12-24</v>
      </c>
      <c r="C724" t="s">
        <v>741</v>
      </c>
      <c r="D724" t="s">
        <v>746</v>
      </c>
      <c r="E724" t="s">
        <v>757</v>
      </c>
      <c r="F724" t="s">
        <v>752</v>
      </c>
      <c r="H724" t="s">
        <v>759</v>
      </c>
    </row>
    <row r="725" spans="1:8" x14ac:dyDescent="0.3">
      <c r="A725" t="s">
        <v>729</v>
      </c>
      <c r="B725" s="4" t="d">
        <v>2026-12-25</v>
      </c>
      <c r="C725" t="s">
        <v>766</v>
      </c>
      <c r="D725" t="s">
        <v>745</v>
      </c>
      <c r="E725" t="s">
        <v>758</v>
      </c>
      <c r="F725" t="s">
        <v>753</v>
      </c>
      <c r="H725" t="s">
        <v>759</v>
      </c>
    </row>
    <row r="726" spans="1:8" x14ac:dyDescent="0.3">
      <c r="A726" t="s">
        <v>730</v>
      </c>
      <c r="B726" s="4" t="d">
        <v>2026-12-26</v>
      </c>
      <c r="C726" t="s">
        <v>767</v>
      </c>
      <c r="D726" t="s">
        <v>746</v>
      </c>
      <c r="E726" t="s">
        <v>758</v>
      </c>
      <c r="F726" t="s">
        <v>749</v>
      </c>
      <c r="H726" t="s">
        <v>759</v>
      </c>
    </row>
    <row r="727" spans="1:8" x14ac:dyDescent="0.3">
      <c r="A727" t="s">
        <v>731</v>
      </c>
      <c r="B727" s="4" t="d">
        <v>2026-12-27</v>
      </c>
      <c r="C727" t="s">
        <v>766</v>
      </c>
      <c r="D727" t="s">
        <v>745</v>
      </c>
      <c r="E727" t="s">
        <v>755</v>
      </c>
      <c r="F727" t="s">
        <v>750</v>
      </c>
      <c r="G727" s="9">
        <v>21</v>
      </c>
      <c r="H727">
        <v>5</v>
      </c>
    </row>
    <row r="728" spans="1:8" x14ac:dyDescent="0.3">
      <c r="A728" t="s">
        <v>732</v>
      </c>
      <c r="B728" s="4" t="d">
        <v>2026-12-28</v>
      </c>
      <c r="C728" t="s">
        <v>741</v>
      </c>
      <c r="D728" t="s">
        <v>746</v>
      </c>
      <c r="E728" t="s">
        <v>756</v>
      </c>
      <c r="F728" t="s">
        <v>751</v>
      </c>
      <c r="H728" t="s">
        <v>759</v>
      </c>
    </row>
    <row r="729" spans="1:8" x14ac:dyDescent="0.3">
      <c r="A729" t="s">
        <v>733</v>
      </c>
      <c r="B729" s="4" t="d">
        <v>2026-12-29</v>
      </c>
      <c r="C729" t="s">
        <v>766</v>
      </c>
      <c r="D729" t="s">
        <v>745</v>
      </c>
      <c r="E729" t="s">
        <v>756</v>
      </c>
      <c r="F729" t="s">
        <v>753</v>
      </c>
      <c r="H729" t="s">
        <v>759</v>
      </c>
    </row>
    <row r="730" spans="1:8" x14ac:dyDescent="0.3">
      <c r="A730" t="s">
        <v>734</v>
      </c>
      <c r="B730" s="4" t="d">
        <v>2026-12-30</v>
      </c>
      <c r="C730" t="s">
        <v>765</v>
      </c>
      <c r="D730" t="s">
        <v>745</v>
      </c>
      <c r="E730" t="s">
        <v>755</v>
      </c>
      <c r="F730" t="s">
        <v>750</v>
      </c>
      <c r="G730" s="9">
        <v>8</v>
      </c>
      <c r="H730">
        <v>4</v>
      </c>
    </row>
    <row r="731" spans="1:8" x14ac:dyDescent="0.3">
      <c r="A731" t="s">
        <v>735</v>
      </c>
      <c r="B731" s="4" t="d">
        <v>2026-12-31</v>
      </c>
      <c r="C731" t="s">
        <v>767</v>
      </c>
      <c r="D731" t="s">
        <v>746</v>
      </c>
      <c r="E731" t="s">
        <v>755</v>
      </c>
      <c r="F731" t="s">
        <v>751</v>
      </c>
      <c r="G731" s="9">
        <v>14</v>
      </c>
      <c r="H731">
        <v>5</v>
      </c>
    </row>
    <row r="732" spans="1:8" x14ac:dyDescent="0.3">
      <c r="A732" t="s">
        <v>736</v>
      </c>
      <c r="B732" s="4" t="d">
        <v>2027-01-01</v>
      </c>
      <c r="C732" t="s">
        <v>767</v>
      </c>
      <c r="D732" t="s">
        <v>746</v>
      </c>
      <c r="E732" t="s">
        <v>757</v>
      </c>
      <c r="F732" t="s">
        <v>754</v>
      </c>
      <c r="H732" t="s">
        <v>759</v>
      </c>
    </row>
    <row r="733" spans="1:8" x14ac:dyDescent="0.3">
      <c r="A733" t="s">
        <v>737</v>
      </c>
      <c r="B733" s="4" t="d">
        <v>2027-01-02</v>
      </c>
      <c r="C733" t="s">
        <v>766</v>
      </c>
      <c r="D733" t="s">
        <v>746</v>
      </c>
      <c r="E733" t="s">
        <v>756</v>
      </c>
      <c r="F733" t="s">
        <v>748</v>
      </c>
      <c r="H733" t="s">
        <v>759</v>
      </c>
    </row>
    <row r="734" spans="1:8" x14ac:dyDescent="0.3">
      <c r="A734" t="s">
        <v>738</v>
      </c>
      <c r="B734" s="4" t="d">
        <v>2027-01-03</v>
      </c>
      <c r="C734" t="s">
        <v>767</v>
      </c>
      <c r="D734" t="s">
        <v>746</v>
      </c>
      <c r="E734" t="s">
        <v>758</v>
      </c>
      <c r="F734" t="s">
        <v>748</v>
      </c>
      <c r="H734" t="s">
        <v>759</v>
      </c>
    </row>
    <row r="735" spans="1:8" x14ac:dyDescent="0.3">
      <c r="A735" t="s">
        <v>739</v>
      </c>
      <c r="B735" s="4" t="d">
        <v>2027-01-04</v>
      </c>
      <c r="C735" t="s">
        <v>741</v>
      </c>
      <c r="D735" t="s">
        <v>746</v>
      </c>
      <c r="E735" t="s">
        <v>758</v>
      </c>
      <c r="F735" t="s">
        <v>752</v>
      </c>
      <c r="H735" t="s">
        <v>759</v>
      </c>
    </row>
  </sheetData>
  <phoneticPr fontId="2" type="noConversion"/>
  <dataValidations count="1">
    <dataValidation type="list" allowBlank="1" showInputMessage="1" showErrorMessage="1" sqref="C1:C1048576" xr:uid="{F95D4757-778A-476A-8439-6508896AF488}">
      <formula1>"Billing, Account Access, Refund Request, Login Issues, Technical"</formula1>
    </dataValidation>
  </dataValidations>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0EE28-A825-4D3B-9CA3-884CB3587FD1}">
  <dimension ref="A2:M44"/>
  <sheetViews>
    <sheetView zoomScale="96" workbookViewId="0">
      <selection activeCell="Q33" sqref="Q33"/>
    </sheetView>
  </sheetViews>
  <sheetFormatPr defaultRowHeight="14.4" x14ac:dyDescent="0.3"/>
  <cols>
    <col min="1" max="1" width="11.21875" bestFit="1" customWidth="1"/>
    <col min="2" max="2" width="16.33203125" bestFit="1" customWidth="1"/>
    <col min="3" max="11" width="3" bestFit="1" customWidth="1"/>
    <col min="12" max="12" width="11.21875" bestFit="1" customWidth="1"/>
    <col min="13" max="13" width="16.77734375" bestFit="1" customWidth="1"/>
    <col min="14" max="22" width="3" bestFit="1" customWidth="1"/>
    <col min="23" max="23" width="2" bestFit="1" customWidth="1"/>
    <col min="24" max="32" width="3" bestFit="1" customWidth="1"/>
    <col min="33" max="33" width="2" bestFit="1" customWidth="1"/>
    <col min="34" max="42" width="3" bestFit="1" customWidth="1"/>
    <col min="43" max="47" width="2" bestFit="1" customWidth="1"/>
    <col min="48" max="48" width="10.77734375" bestFit="1" customWidth="1"/>
    <col min="49" max="735" width="5" bestFit="1" customWidth="1"/>
    <col min="736" max="736" width="10.77734375" bestFit="1" customWidth="1"/>
  </cols>
  <sheetData>
    <row r="2" spans="1:13" ht="18" x14ac:dyDescent="0.35">
      <c r="A2" s="11" t="s">
        <v>783</v>
      </c>
      <c r="B2" s="10"/>
      <c r="L2" s="11" t="s">
        <v>784</v>
      </c>
      <c r="M2" s="10"/>
    </row>
    <row r="3" spans="1:13" x14ac:dyDescent="0.3">
      <c r="A3" s="5" t="s">
        <v>762</v>
      </c>
      <c r="B3" t="s">
        <v>761</v>
      </c>
      <c r="L3" s="5" t="s">
        <v>3</v>
      </c>
      <c r="M3" t="s">
        <v>761</v>
      </c>
    </row>
    <row r="4" spans="1:13" x14ac:dyDescent="0.3">
      <c r="A4" s="6" t="s">
        <v>743</v>
      </c>
      <c r="B4" s="7">
        <v>142</v>
      </c>
      <c r="L4" s="6" t="s">
        <v>755</v>
      </c>
      <c r="M4" s="7">
        <v>261</v>
      </c>
    </row>
    <row r="5" spans="1:13" x14ac:dyDescent="0.3">
      <c r="A5" s="6" t="s">
        <v>740</v>
      </c>
      <c r="B5" s="7">
        <v>167</v>
      </c>
      <c r="L5" s="6" t="s">
        <v>757</v>
      </c>
      <c r="M5" s="7">
        <v>118</v>
      </c>
    </row>
    <row r="6" spans="1:13" x14ac:dyDescent="0.3">
      <c r="A6" s="6" t="s">
        <v>744</v>
      </c>
      <c r="B6" s="7">
        <v>142</v>
      </c>
      <c r="L6" s="6" t="s">
        <v>756</v>
      </c>
      <c r="M6" s="7">
        <v>231</v>
      </c>
    </row>
    <row r="7" spans="1:13" x14ac:dyDescent="0.3">
      <c r="A7" s="6" t="s">
        <v>742</v>
      </c>
      <c r="B7" s="7">
        <v>141</v>
      </c>
      <c r="L7" s="6" t="s">
        <v>758</v>
      </c>
      <c r="M7" s="7">
        <v>124</v>
      </c>
    </row>
    <row r="8" spans="1:13" x14ac:dyDescent="0.3">
      <c r="A8" s="6" t="s">
        <v>741</v>
      </c>
      <c r="B8" s="7">
        <v>142</v>
      </c>
      <c r="L8" s="6" t="s">
        <v>760</v>
      </c>
      <c r="M8" s="7">
        <v>734</v>
      </c>
    </row>
    <row r="9" spans="1:13" x14ac:dyDescent="0.3">
      <c r="A9" s="6" t="s">
        <v>760</v>
      </c>
      <c r="B9" s="7">
        <v>734</v>
      </c>
    </row>
    <row r="16" spans="1:13" ht="18" x14ac:dyDescent="0.35">
      <c r="A16" s="11" t="s">
        <v>785</v>
      </c>
      <c r="B16" s="10"/>
      <c r="L16" s="11" t="s">
        <v>789</v>
      </c>
      <c r="M16" s="10"/>
    </row>
    <row r="17" spans="1:13" x14ac:dyDescent="0.3">
      <c r="A17" s="5" t="s">
        <v>768</v>
      </c>
      <c r="B17" t="s">
        <v>769</v>
      </c>
      <c r="L17" s="5" t="s">
        <v>788</v>
      </c>
      <c r="M17" t="s">
        <v>782</v>
      </c>
    </row>
    <row r="18" spans="1:13" x14ac:dyDescent="0.3">
      <c r="A18" s="6" t="s">
        <v>749</v>
      </c>
      <c r="B18" s="7">
        <v>14.518518518518519</v>
      </c>
      <c r="L18" s="6">
        <v>3</v>
      </c>
      <c r="M18" s="7">
        <v>71</v>
      </c>
    </row>
    <row r="19" spans="1:13" x14ac:dyDescent="0.3">
      <c r="A19" s="6" t="s">
        <v>751</v>
      </c>
      <c r="B19" s="7">
        <v>15.208333333333334</v>
      </c>
      <c r="L19" s="6">
        <v>4</v>
      </c>
      <c r="M19" s="7">
        <v>105</v>
      </c>
    </row>
    <row r="20" spans="1:13" x14ac:dyDescent="0.3">
      <c r="A20" s="6" t="s">
        <v>748</v>
      </c>
      <c r="B20" s="7">
        <v>15.470588235294118</v>
      </c>
      <c r="L20" s="6">
        <v>5</v>
      </c>
      <c r="M20" s="7">
        <v>85</v>
      </c>
    </row>
    <row r="21" spans="1:13" x14ac:dyDescent="0.3">
      <c r="A21" s="6" t="s">
        <v>752</v>
      </c>
      <c r="B21" s="7">
        <v>13.035714285714286</v>
      </c>
      <c r="L21" s="6"/>
      <c r="M21" s="7">
        <v>473</v>
      </c>
    </row>
    <row r="22" spans="1:13" x14ac:dyDescent="0.3">
      <c r="A22" s="6" t="s">
        <v>750</v>
      </c>
      <c r="B22" s="7">
        <v>17.621621621621621</v>
      </c>
      <c r="L22" s="6" t="s">
        <v>760</v>
      </c>
      <c r="M22" s="7">
        <v>734</v>
      </c>
    </row>
    <row r="23" spans="1:13" x14ac:dyDescent="0.3">
      <c r="A23" s="6" t="s">
        <v>747</v>
      </c>
      <c r="B23" s="7">
        <v>19.225806451612904</v>
      </c>
    </row>
    <row r="24" spans="1:13" x14ac:dyDescent="0.3">
      <c r="A24" s="6" t="s">
        <v>753</v>
      </c>
      <c r="B24" s="7">
        <v>13.966666666666667</v>
      </c>
    </row>
    <row r="25" spans="1:13" x14ac:dyDescent="0.3">
      <c r="A25" s="6" t="s">
        <v>754</v>
      </c>
      <c r="B25" s="7">
        <v>16.26923076923077</v>
      </c>
    </row>
    <row r="26" spans="1:13" x14ac:dyDescent="0.3">
      <c r="A26" s="6" t="s">
        <v>760</v>
      </c>
      <c r="B26" s="7">
        <v>15.720306513409962</v>
      </c>
    </row>
    <row r="30" spans="1:13" ht="18" x14ac:dyDescent="0.35">
      <c r="A30" s="11" t="s">
        <v>787</v>
      </c>
      <c r="B30" s="10"/>
    </row>
    <row r="31" spans="1:13" x14ac:dyDescent="0.3">
      <c r="A31" s="5" t="s">
        <v>786</v>
      </c>
      <c r="B31" t="s">
        <v>782</v>
      </c>
    </row>
    <row r="32" spans="1:13" x14ac:dyDescent="0.3">
      <c r="A32" s="6" t="s">
        <v>770</v>
      </c>
      <c r="B32" s="7">
        <v>66</v>
      </c>
    </row>
    <row r="33" spans="1:2" x14ac:dyDescent="0.3">
      <c r="A33" s="6" t="s">
        <v>771</v>
      </c>
      <c r="B33" s="7">
        <v>56</v>
      </c>
    </row>
    <row r="34" spans="1:2" x14ac:dyDescent="0.3">
      <c r="A34" s="6" t="s">
        <v>772</v>
      </c>
      <c r="B34" s="7">
        <v>62</v>
      </c>
    </row>
    <row r="35" spans="1:2" x14ac:dyDescent="0.3">
      <c r="A35" s="6" t="s">
        <v>773</v>
      </c>
      <c r="B35" s="7">
        <v>60</v>
      </c>
    </row>
    <row r="36" spans="1:2" x14ac:dyDescent="0.3">
      <c r="A36" s="6" t="s">
        <v>774</v>
      </c>
      <c r="B36" s="7">
        <v>62</v>
      </c>
    </row>
    <row r="37" spans="1:2" x14ac:dyDescent="0.3">
      <c r="A37" s="6" t="s">
        <v>775</v>
      </c>
      <c r="B37" s="7">
        <v>60</v>
      </c>
    </row>
    <row r="38" spans="1:2" x14ac:dyDescent="0.3">
      <c r="A38" s="6" t="s">
        <v>776</v>
      </c>
      <c r="B38" s="7">
        <v>62</v>
      </c>
    </row>
    <row r="39" spans="1:2" x14ac:dyDescent="0.3">
      <c r="A39" s="6" t="s">
        <v>777</v>
      </c>
      <c r="B39" s="7">
        <v>62</v>
      </c>
    </row>
    <row r="40" spans="1:2" x14ac:dyDescent="0.3">
      <c r="A40" s="6" t="s">
        <v>778</v>
      </c>
      <c r="B40" s="7">
        <v>60</v>
      </c>
    </row>
    <row r="41" spans="1:2" x14ac:dyDescent="0.3">
      <c r="A41" s="6" t="s">
        <v>779</v>
      </c>
      <c r="B41" s="7">
        <v>62</v>
      </c>
    </row>
    <row r="42" spans="1:2" x14ac:dyDescent="0.3">
      <c r="A42" s="6" t="s">
        <v>780</v>
      </c>
      <c r="B42" s="7">
        <v>60</v>
      </c>
    </row>
    <row r="43" spans="1:2" x14ac:dyDescent="0.3">
      <c r="A43" s="6" t="s">
        <v>781</v>
      </c>
      <c r="B43" s="7">
        <v>62</v>
      </c>
    </row>
    <row r="44" spans="1:2" x14ac:dyDescent="0.3">
      <c r="A44" s="6" t="s">
        <v>760</v>
      </c>
      <c r="B44" s="7">
        <v>734</v>
      </c>
    </row>
  </sheetData>
  <mergeCells count="5">
    <mergeCell ref="A2:B2"/>
    <mergeCell ref="L2:M2"/>
    <mergeCell ref="A16:B16"/>
    <mergeCell ref="A30:B30"/>
    <mergeCell ref="L16:M16"/>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62FE7-96BC-47F8-831B-BE846E1CBEE1}">
  <dimension ref="A1:K67"/>
  <sheetViews>
    <sheetView showGridLines="0" topLeftCell="A33" zoomScale="43" zoomScaleNormal="104" workbookViewId="0">
      <selection activeCell="H106" sqref="H106"/>
    </sheetView>
  </sheetViews>
  <sheetFormatPr defaultRowHeight="14.4" x14ac:dyDescent="0.3"/>
  <cols>
    <col min="1" max="1" width="8.88671875" customWidth="1"/>
    <col min="2" max="2" width="24.5546875" customWidth="1"/>
    <col min="4" max="4" width="19.5546875" customWidth="1"/>
    <col min="6" max="6" width="23.77734375" customWidth="1"/>
    <col min="8" max="8" width="24.109375" customWidth="1"/>
    <col min="9" max="9" width="16.5546875" customWidth="1"/>
  </cols>
  <sheetData>
    <row r="1" spans="1:11" ht="24" customHeight="1" x14ac:dyDescent="1.1000000000000001">
      <c r="A1" s="17"/>
      <c r="B1" s="16"/>
      <c r="C1" s="16"/>
      <c r="D1" s="19" t="s">
        <v>791</v>
      </c>
      <c r="E1" s="19"/>
      <c r="F1" s="19"/>
      <c r="G1" s="19"/>
      <c r="H1" s="19"/>
      <c r="I1" s="19"/>
    </row>
    <row r="2" spans="1:11" ht="15.6" customHeight="1" x14ac:dyDescent="1.1000000000000001">
      <c r="A2" s="18"/>
      <c r="B2" s="16"/>
      <c r="C2" s="16"/>
      <c r="D2" s="19"/>
      <c r="E2" s="19"/>
      <c r="F2" s="19"/>
      <c r="G2" s="19"/>
      <c r="H2" s="19"/>
      <c r="I2" s="19"/>
    </row>
    <row r="3" spans="1:11" ht="15.6" customHeight="1" x14ac:dyDescent="1.1000000000000001">
      <c r="A3" s="18"/>
      <c r="B3" s="16"/>
      <c r="C3" s="16"/>
      <c r="D3" s="19"/>
      <c r="E3" s="19"/>
      <c r="F3" s="19"/>
      <c r="G3" s="19"/>
      <c r="H3" s="19"/>
      <c r="I3" s="19"/>
    </row>
    <row r="4" spans="1:11" ht="18" customHeight="1" thickBot="1" x14ac:dyDescent="1.1499999999999999">
      <c r="A4" s="18"/>
      <c r="B4" s="16"/>
      <c r="C4" s="16"/>
      <c r="D4" s="16"/>
      <c r="E4" s="16"/>
      <c r="F4" s="16"/>
      <c r="G4" s="16"/>
      <c r="H4" s="16"/>
    </row>
    <row r="5" spans="1:11" ht="18" x14ac:dyDescent="0.35">
      <c r="A5" s="21" t="s">
        <v>790</v>
      </c>
      <c r="B5" s="22"/>
      <c r="C5" s="21" t="s">
        <v>792</v>
      </c>
      <c r="D5" s="22"/>
      <c r="E5" s="21" t="s">
        <v>793</v>
      </c>
      <c r="F5" s="22"/>
      <c r="G5" s="21" t="s">
        <v>794</v>
      </c>
      <c r="H5" s="22"/>
    </row>
    <row r="6" spans="1:11" ht="46.2" customHeight="1" x14ac:dyDescent="0.3">
      <c r="A6" s="12">
        <f>COUNTA('Raw Data'!A:A)-1</f>
        <v>734</v>
      </c>
      <c r="B6" s="13"/>
      <c r="C6" s="12">
        <f>COUNTIF('Raw Data'!E:E,"Closed")</f>
        <v>261</v>
      </c>
      <c r="D6" s="13"/>
      <c r="E6" s="23">
        <f>AVERAGE('Raw Data'!G:G)</f>
        <v>15.720306513409962</v>
      </c>
      <c r="F6" s="24"/>
      <c r="G6" s="12">
        <f>AVERAGE('Raw Data'!H:H)</f>
        <v>4.0536398467432946</v>
      </c>
      <c r="H6" s="13"/>
    </row>
    <row r="7" spans="1:11" ht="15" customHeight="1" thickBot="1" x14ac:dyDescent="0.35">
      <c r="A7" s="14"/>
      <c r="B7" s="15"/>
      <c r="C7" s="14"/>
      <c r="D7" s="15"/>
      <c r="E7" s="25"/>
      <c r="F7" s="26"/>
      <c r="G7" s="14"/>
      <c r="H7" s="15"/>
    </row>
    <row r="10" spans="1:11" ht="23.4" customHeight="1" x14ac:dyDescent="0.35">
      <c r="B10" s="28" t="s">
        <v>797</v>
      </c>
      <c r="C10" s="28"/>
      <c r="D10" s="28"/>
      <c r="E10" s="28"/>
      <c r="F10" s="28"/>
      <c r="G10" s="28"/>
      <c r="H10" s="28"/>
    </row>
    <row r="12" spans="1:11" x14ac:dyDescent="0.3">
      <c r="A12" s="27" t="s">
        <v>795</v>
      </c>
      <c r="B12" s="27"/>
      <c r="C12" s="27"/>
      <c r="D12" s="27"/>
      <c r="F12" s="27" t="s">
        <v>796</v>
      </c>
      <c r="G12" s="10"/>
      <c r="H12" s="10"/>
      <c r="I12" s="10"/>
      <c r="J12" s="10"/>
      <c r="K12" s="10"/>
    </row>
    <row r="30" spans="1:8" ht="27" customHeight="1" x14ac:dyDescent="0.35">
      <c r="A30" s="29" t="s">
        <v>798</v>
      </c>
      <c r="B30" s="10"/>
      <c r="C30" s="10"/>
      <c r="D30" s="10"/>
      <c r="E30" s="10"/>
      <c r="F30" s="10"/>
      <c r="G30" s="10"/>
      <c r="H30" s="10"/>
    </row>
    <row r="31" spans="1:8" x14ac:dyDescent="0.3">
      <c r="A31" s="10"/>
      <c r="B31" s="10"/>
      <c r="C31" s="10"/>
      <c r="D31" s="10"/>
      <c r="E31" s="10"/>
      <c r="F31" s="10"/>
      <c r="G31" s="10"/>
      <c r="H31" s="10"/>
    </row>
    <row r="33" spans="2:9" x14ac:dyDescent="0.3">
      <c r="B33" s="27" t="s">
        <v>799</v>
      </c>
      <c r="C33" s="10"/>
      <c r="D33" s="10"/>
      <c r="G33" s="27" t="s">
        <v>800</v>
      </c>
      <c r="H33" s="10"/>
      <c r="I33" s="10"/>
    </row>
    <row r="55" spans="2:8" ht="27" customHeight="1" x14ac:dyDescent="0.35">
      <c r="B55" s="29" t="s">
        <v>801</v>
      </c>
      <c r="C55" s="29"/>
      <c r="D55" s="29"/>
      <c r="E55" s="29"/>
      <c r="F55" s="29"/>
      <c r="G55" s="29"/>
      <c r="H55" s="30"/>
    </row>
    <row r="57" spans="2:8" x14ac:dyDescent="0.3">
      <c r="B57" s="27" t="s">
        <v>802</v>
      </c>
      <c r="C57" s="10"/>
      <c r="D57" s="10"/>
    </row>
    <row r="67" spans="2:2" x14ac:dyDescent="0.3">
      <c r="B67" s="9"/>
    </row>
  </sheetData>
  <mergeCells count="19">
    <mergeCell ref="B57:D57"/>
    <mergeCell ref="A31:H31"/>
    <mergeCell ref="B33:D33"/>
    <mergeCell ref="G33:I33"/>
    <mergeCell ref="B55:G55"/>
    <mergeCell ref="A12:D12"/>
    <mergeCell ref="F12:K12"/>
    <mergeCell ref="B10:H10"/>
    <mergeCell ref="A30:H30"/>
    <mergeCell ref="C6:D7"/>
    <mergeCell ref="E5:F5"/>
    <mergeCell ref="E6:F7"/>
    <mergeCell ref="G5:H5"/>
    <mergeCell ref="G6:H7"/>
    <mergeCell ref="D3:I3"/>
    <mergeCell ref="D1:I2"/>
    <mergeCell ref="A5:B5"/>
    <mergeCell ref="A6:B7"/>
    <mergeCell ref="C5:D5"/>
  </mergeCells>
  <pageMargins left="0.7" right="0.7" top="0.75" bottom="0.75" header="0.3" footer="0.3"/>
  <drawing r:id="rId1"/>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8279C-07C8-403F-B706-CD2B154E30E0}">
  <dimension ref="A1:R43"/>
  <sheetViews>
    <sheetView showGridLines="0" tabSelected="1" zoomScale="62" workbookViewId="0">
      <selection activeCell="D40" sqref="D40"/>
    </sheetView>
  </sheetViews>
  <sheetFormatPr defaultRowHeight="14.4" x14ac:dyDescent="0.3"/>
  <sheetData>
    <row r="1" spans="1:13" s="33" customFormat="1" ht="27.6" x14ac:dyDescent="0.45">
      <c r="B1" s="31" t="s">
        <v>803</v>
      </c>
      <c r="C1" s="32"/>
      <c r="D1" s="32"/>
      <c r="E1" s="32"/>
      <c r="F1" s="32"/>
      <c r="G1" s="32"/>
      <c r="H1" s="32"/>
      <c r="I1" s="32"/>
      <c r="J1" s="32"/>
      <c r="K1" s="32"/>
    </row>
    <row r="3" spans="1:13" x14ac:dyDescent="0.3">
      <c r="A3" s="34" t="s">
        <v>804</v>
      </c>
      <c r="B3" s="20"/>
      <c r="C3" s="20"/>
      <c r="D3" s="20"/>
      <c r="E3" s="20"/>
      <c r="F3" s="20"/>
      <c r="G3" s="20"/>
      <c r="H3" s="20"/>
      <c r="I3" s="20"/>
      <c r="J3" s="20"/>
      <c r="K3" s="20"/>
      <c r="L3" s="20"/>
      <c r="M3" s="20"/>
    </row>
    <row r="4" spans="1:13" x14ac:dyDescent="0.3">
      <c r="A4" t="s">
        <v>805</v>
      </c>
      <c r="B4" s="20"/>
      <c r="C4" s="20"/>
      <c r="D4" s="20"/>
      <c r="E4" s="20"/>
      <c r="F4" s="20"/>
      <c r="G4" s="20"/>
      <c r="H4" s="20"/>
      <c r="I4" s="20"/>
      <c r="J4" s="20"/>
      <c r="K4" s="20"/>
      <c r="L4" s="20"/>
      <c r="M4" s="20"/>
    </row>
    <row r="5" spans="1:13" x14ac:dyDescent="0.3">
      <c r="A5" t="s">
        <v>806</v>
      </c>
      <c r="B5" s="20"/>
      <c r="C5" s="20"/>
      <c r="D5" s="20"/>
      <c r="E5" s="20"/>
      <c r="F5" s="20"/>
      <c r="G5" s="20"/>
      <c r="H5" s="20"/>
      <c r="I5" s="20"/>
      <c r="J5" s="20"/>
      <c r="K5" s="20"/>
      <c r="L5" s="20"/>
      <c r="M5" s="20"/>
    </row>
    <row r="7" spans="1:13" x14ac:dyDescent="0.3">
      <c r="A7" s="34" t="s">
        <v>807</v>
      </c>
      <c r="B7" s="20"/>
      <c r="C7" s="20"/>
      <c r="D7" s="20"/>
    </row>
    <row r="8" spans="1:13" x14ac:dyDescent="0.3">
      <c r="A8" s="1" t="s">
        <v>808</v>
      </c>
    </row>
    <row r="9" spans="1:13" x14ac:dyDescent="0.3">
      <c r="A9" t="s">
        <v>809</v>
      </c>
    </row>
    <row r="10" spans="1:13" x14ac:dyDescent="0.3">
      <c r="A10" t="s">
        <v>810</v>
      </c>
    </row>
    <row r="12" spans="1:13" x14ac:dyDescent="0.3">
      <c r="A12" s="1" t="s">
        <v>811</v>
      </c>
    </row>
    <row r="13" spans="1:13" x14ac:dyDescent="0.3">
      <c r="A13" t="s">
        <v>812</v>
      </c>
    </row>
    <row r="14" spans="1:13" x14ac:dyDescent="0.3">
      <c r="A14" s="1" t="s">
        <v>813</v>
      </c>
    </row>
    <row r="15" spans="1:13" x14ac:dyDescent="0.3">
      <c r="A15" t="s">
        <v>814</v>
      </c>
    </row>
    <row r="17" spans="1:1" x14ac:dyDescent="0.3">
      <c r="A17" s="1" t="s">
        <v>815</v>
      </c>
    </row>
    <row r="18" spans="1:1" x14ac:dyDescent="0.3">
      <c r="A18" t="s">
        <v>816</v>
      </c>
    </row>
    <row r="19" spans="1:1" x14ac:dyDescent="0.3">
      <c r="A19" s="1" t="s">
        <v>817</v>
      </c>
    </row>
    <row r="20" spans="1:1" x14ac:dyDescent="0.3">
      <c r="A20" s="1" t="s">
        <v>818</v>
      </c>
    </row>
    <row r="21" spans="1:1" x14ac:dyDescent="0.3">
      <c r="A21" s="1" t="s">
        <v>819</v>
      </c>
    </row>
    <row r="23" spans="1:1" x14ac:dyDescent="0.3">
      <c r="A23" s="1" t="s">
        <v>820</v>
      </c>
    </row>
    <row r="24" spans="1:1" x14ac:dyDescent="0.3">
      <c r="A24" t="s">
        <v>821</v>
      </c>
    </row>
    <row r="25" spans="1:1" x14ac:dyDescent="0.3">
      <c r="A25" t="s">
        <v>822</v>
      </c>
    </row>
    <row r="26" spans="1:1" x14ac:dyDescent="0.3">
      <c r="A26" t="s">
        <v>823</v>
      </c>
    </row>
    <row r="28" spans="1:1" x14ac:dyDescent="0.3">
      <c r="A28" s="1" t="s">
        <v>824</v>
      </c>
    </row>
    <row r="29" spans="1:1" x14ac:dyDescent="0.3">
      <c r="A29" t="s">
        <v>825</v>
      </c>
    </row>
    <row r="30" spans="1:1" x14ac:dyDescent="0.3">
      <c r="A30" t="s">
        <v>826</v>
      </c>
    </row>
    <row r="31" spans="1:1" x14ac:dyDescent="0.3">
      <c r="A31" t="s">
        <v>827</v>
      </c>
    </row>
    <row r="34" spans="1:18" x14ac:dyDescent="0.3">
      <c r="D34" s="31" t="s">
        <v>828</v>
      </c>
      <c r="E34" s="10"/>
      <c r="F34" s="10"/>
      <c r="G34" s="10"/>
      <c r="H34" s="10"/>
      <c r="I34" s="10"/>
    </row>
    <row r="35" spans="1:18" x14ac:dyDescent="0.3">
      <c r="D35" s="10"/>
      <c r="E35" s="10"/>
      <c r="F35" s="10"/>
      <c r="G35" s="10"/>
      <c r="H35" s="10"/>
      <c r="I35" s="10"/>
    </row>
    <row r="37" spans="1:18" ht="59.4" customHeight="1" x14ac:dyDescent="0.3">
      <c r="A37" s="36" t="s">
        <v>829</v>
      </c>
      <c r="B37" s="35"/>
      <c r="C37" s="35"/>
      <c r="D37" s="35"/>
      <c r="E37" s="35"/>
      <c r="F37" s="35"/>
      <c r="G37" s="35"/>
      <c r="H37" s="35"/>
      <c r="I37" s="35"/>
      <c r="J37" s="35"/>
      <c r="K37" s="35"/>
      <c r="L37" s="35"/>
      <c r="M37" s="35"/>
      <c r="N37" s="35"/>
      <c r="O37" s="35"/>
      <c r="P37" s="35"/>
      <c r="Q37" s="20"/>
      <c r="R37" s="20"/>
    </row>
    <row r="38" spans="1:18" x14ac:dyDescent="0.3">
      <c r="A38" s="20"/>
      <c r="B38" s="20"/>
      <c r="C38" s="20"/>
      <c r="D38" s="20"/>
      <c r="E38" s="20"/>
      <c r="F38" s="20"/>
      <c r="G38" s="20"/>
      <c r="H38" s="20"/>
      <c r="I38" s="20"/>
      <c r="J38" s="20"/>
      <c r="K38" s="20"/>
      <c r="L38" s="20"/>
      <c r="M38" s="20"/>
      <c r="N38" s="20"/>
      <c r="O38" s="20"/>
      <c r="P38" s="20"/>
      <c r="Q38" s="20"/>
      <c r="R38" s="20"/>
    </row>
    <row r="39" spans="1:18" x14ac:dyDescent="0.3">
      <c r="A39" s="20"/>
      <c r="B39" s="20"/>
      <c r="C39" s="20"/>
      <c r="D39" s="20"/>
      <c r="E39" s="20"/>
      <c r="F39" s="20"/>
      <c r="G39" s="20"/>
      <c r="H39" s="20"/>
      <c r="I39" s="20"/>
      <c r="J39" s="20"/>
      <c r="K39" s="20"/>
      <c r="L39" s="20"/>
      <c r="M39" s="20"/>
      <c r="N39" s="20"/>
      <c r="O39" s="20"/>
      <c r="P39" s="20"/>
      <c r="Q39" s="20"/>
      <c r="R39" s="20"/>
    </row>
    <row r="40" spans="1:18" x14ac:dyDescent="0.3">
      <c r="A40" s="20"/>
      <c r="B40" s="20"/>
      <c r="C40" s="20"/>
      <c r="D40" s="20"/>
      <c r="E40" s="20"/>
      <c r="F40" s="20"/>
      <c r="G40" s="20"/>
      <c r="H40" s="20"/>
      <c r="I40" s="20"/>
      <c r="J40" s="20"/>
      <c r="K40" s="20"/>
      <c r="L40" s="20"/>
      <c r="M40" s="20"/>
      <c r="N40" s="20"/>
      <c r="O40" s="20"/>
      <c r="P40" s="20"/>
      <c r="Q40" s="20"/>
      <c r="R40" s="20"/>
    </row>
    <row r="41" spans="1:18" x14ac:dyDescent="0.3">
      <c r="A41" s="20"/>
      <c r="B41" s="20"/>
      <c r="C41" s="20"/>
      <c r="D41" s="20"/>
      <c r="E41" s="20"/>
      <c r="F41" s="20"/>
      <c r="G41" s="20"/>
      <c r="H41" s="20"/>
      <c r="I41" s="20"/>
      <c r="J41" s="20"/>
      <c r="K41" s="20"/>
      <c r="L41" s="20"/>
      <c r="M41" s="20"/>
      <c r="N41" s="20"/>
      <c r="O41" s="20"/>
      <c r="P41" s="20"/>
      <c r="Q41" s="20"/>
      <c r="R41" s="20"/>
    </row>
    <row r="42" spans="1:18" x14ac:dyDescent="0.3">
      <c r="A42" s="20"/>
      <c r="B42" s="20"/>
      <c r="C42" s="20"/>
      <c r="D42" s="20"/>
      <c r="E42" s="20"/>
      <c r="F42" s="20"/>
      <c r="G42" s="20"/>
      <c r="H42" s="20"/>
      <c r="I42" s="20"/>
      <c r="J42" s="20"/>
      <c r="K42" s="20"/>
      <c r="L42" s="20"/>
      <c r="M42" s="20"/>
      <c r="N42" s="20"/>
      <c r="O42" s="20"/>
      <c r="P42" s="20"/>
      <c r="Q42" s="20"/>
      <c r="R42" s="20"/>
    </row>
    <row r="43" spans="1:18" x14ac:dyDescent="0.3">
      <c r="A43" s="20"/>
      <c r="B43" s="20"/>
      <c r="C43" s="20"/>
      <c r="D43" s="20"/>
      <c r="E43" s="20"/>
      <c r="F43" s="20"/>
      <c r="G43" s="20"/>
      <c r="H43" s="20"/>
      <c r="I43" s="20"/>
      <c r="J43" s="20"/>
      <c r="K43" s="20"/>
      <c r="L43" s="20"/>
      <c r="M43" s="20"/>
      <c r="N43" s="20"/>
      <c r="O43" s="20"/>
      <c r="P43" s="20"/>
      <c r="Q43" s="20"/>
      <c r="R43" s="20"/>
    </row>
  </sheetData>
  <mergeCells count="3">
    <mergeCell ref="D34:I35"/>
    <mergeCell ref="A37:P37"/>
    <mergeCell ref="B1:K1"/>
  </mergeCells>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 Table</vt:lpstr>
      <vt:lpstr>Dashboard</vt:lpstr>
      <vt:lpstr>Key Business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Vaneesa Mendez</dc:creator>
  <cp:lastModifiedBy>Vaneesa Mendez</cp:lastModifiedBy>
  <dcterms:created xsi:type="dcterms:W3CDTF">2026-06-19T08:10:35Z</dcterms:created>
  <dcterms:modified xsi:type="dcterms:W3CDTF">2026-06-19T11:28:58Z</dcterms:modified>
</cp:coreProperties>
</file>